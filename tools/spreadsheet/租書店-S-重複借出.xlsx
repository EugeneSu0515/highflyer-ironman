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drawings/drawing3.xml" ContentType="application/vnd.openxmlformats-officedocument.drawing+xml"/>
  <Override PartName="/xl/drawings/vmlDrawing2.vml" ContentType="application/vnd.openxmlformats-officedocument.vmlDrawing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說明" sheetId="1" state="visible" r:id="rId3"/>
    <sheet name="借閱" sheetId="2" state="visible" r:id="rId4"/>
    <sheet name="書籍" sheetId="3" state="visible" r:id="rId5"/>
    <sheet name="會員" sheetId="4" state="visible" r:id="rId6"/>
    <sheet name="統計" sheetId="5" state="visible" r:id="rId7"/>
  </sheets>
  <definedNames>
    <definedName function="false" hidden="true" localSheetId="1" name="_xlnm._FilterDatabase" vbProcedure="false">借閱!$A$1:$G$2000</definedName>
    <definedName function="false" hidden="true" localSheetId="2" name="_xlnm._FilterDatabase" vbProcedure="false">書籍!$A$1:$F$101</definedName>
    <definedName function="false" hidden="true" localSheetId="3" name="_xlnm._FilterDatabase" vbProcedure="false">會員!$A$1:$D$41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" authorId="0">
      <text>
        <r>
          <rPr>
            <sz val="10"/>
            <rFont val="Noto Sans CJK SC"/>
            <family val="2"/>
          </rPr>
          <t xml:space="preserve">同一本書同時只該有 </t>
        </r>
        <r>
          <rPr>
            <sz val="10"/>
            <rFont val="Arial"/>
            <family val="2"/>
          </rPr>
          <t xml:space="preserve">0 </t>
        </r>
        <r>
          <rPr>
            <sz val="10"/>
            <rFont val="Noto Sans CJK SC"/>
            <family val="2"/>
          </rPr>
          <t xml:space="preserve">或 </t>
        </r>
        <r>
          <rPr>
            <sz val="10"/>
            <rFont val="Arial"/>
            <family val="2"/>
          </rPr>
          <t xml:space="preserve">1 </t>
        </r>
        <r>
          <rPr>
            <sz val="10"/>
            <rFont val="Noto Sans CJK SC"/>
            <family val="2"/>
          </rPr>
          <t xml:space="preserve">筆未歸還。大於 </t>
        </r>
        <r>
          <rPr>
            <sz val="10"/>
            <rFont val="Arial"/>
            <family val="2"/>
          </rPr>
          <t xml:space="preserve">1 </t>
        </r>
        <r>
          <rPr>
            <sz val="10"/>
            <rFont val="Noto Sans CJK SC"/>
            <family val="2"/>
          </rPr>
          <t xml:space="preserve">表示重複借出，試算表只能標紅，擋不住。</t>
        </r>
      </text>
    </comment>
    <comment ref="G1" authorId="0">
      <text>
        <r>
          <rPr>
            <sz val="10"/>
            <rFont val="Noto Sans CJK SC"/>
            <family val="2"/>
          </rPr>
          <t xml:space="preserve">借閱次數加上一點列號，讓同分的書也能被 </t>
        </r>
        <r>
          <rPr>
            <sz val="10"/>
            <rFont val="Arial"/>
            <family val="2"/>
          </rPr>
          <t xml:space="preserve">MATCH </t>
        </r>
        <r>
          <rPr>
            <sz val="10"/>
            <rFont val="Noto Sans CJK SC"/>
            <family val="2"/>
          </rPr>
          <t xml:space="preserve">分開。只給「統計」表用。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Noto Sans CJK SC"/>
            <family val="2"/>
          </rPr>
          <t xml:space="preserve">應該永遠是 </t>
        </r>
        <r>
          <rPr>
            <sz val="10"/>
            <rFont val="Arial"/>
            <family val="2"/>
          </rPr>
          <t xml:space="preserve">0</t>
        </r>
        <r>
          <rPr>
            <sz val="10"/>
            <rFont val="Noto Sans CJK SC"/>
            <family val="2"/>
          </rPr>
          <t xml:space="preserve">。不是 </t>
        </r>
        <r>
          <rPr>
            <sz val="10"/>
            <rFont val="Arial"/>
            <family val="2"/>
          </rPr>
          <t xml:space="preserve">0 </t>
        </r>
        <r>
          <rPr>
            <sz val="10"/>
            <rFont val="Noto Sans CJK SC"/>
            <family val="2"/>
          </rPr>
          <t xml:space="preserve">就表示有人把借出中的書再借了一次。</t>
        </r>
      </text>
    </comment>
  </commentList>
</comments>
</file>

<file path=xl/sharedStrings.xml><?xml version="1.0" encoding="utf-8"?>
<sst xmlns="http://schemas.openxmlformats.org/spreadsheetml/2006/main" count="1463" uniqueCount="426">
  <si>
    <r>
      <rPr>
        <b val="true"/>
        <sz val="12"/>
        <rFont val="Noto Sans CJK SC"/>
        <family val="2"/>
      </rPr>
      <t xml:space="preserve">租書店試算表 </t>
    </r>
    <r>
      <rPr>
        <b val="true"/>
        <sz val="12"/>
        <rFont val="Arial"/>
        <family val="0"/>
        <charset val="1"/>
      </rPr>
      <t xml:space="preserve">v1</t>
    </r>
  </si>
  <si>
    <t xml:space="preserve">用途</t>
  </si>
  <si>
    <r>
      <rPr>
        <sz val="11"/>
        <rFont val="Arial"/>
        <family val="0"/>
        <charset val="1"/>
      </rPr>
      <t xml:space="preserve">#01.3 </t>
    </r>
    <r>
      <rPr>
        <sz val="11"/>
        <rFont val="Noto Sans CJK SC"/>
        <family val="2"/>
      </rPr>
      <t xml:space="preserve">比較篇的試作：用試算表做 </t>
    </r>
    <r>
      <rPr>
        <sz val="11"/>
        <rFont val="Arial"/>
        <family val="0"/>
        <charset val="1"/>
      </rPr>
      <t xml:space="preserve">#01 </t>
    </r>
    <r>
      <rPr>
        <sz val="11"/>
        <rFont val="Noto Sans CJK SC"/>
        <family val="2"/>
      </rPr>
      <t xml:space="preserve">那五個櫃檯動作，看它此時夠不夠用。資料來自 </t>
    </r>
    <r>
      <rPr>
        <sz val="11"/>
        <rFont val="Arial"/>
        <family val="0"/>
        <charset val="1"/>
      </rPr>
      <t xml:space="preserve">#00.1 </t>
    </r>
    <r>
      <rPr>
        <sz val="11"/>
        <rFont val="Noto Sans CJK SC"/>
        <family val="2"/>
      </rPr>
      <t xml:space="preserve">種子資料 </t>
    </r>
    <r>
      <rPr>
        <sz val="11"/>
        <rFont val="Arial"/>
        <family val="0"/>
        <charset val="1"/>
      </rPr>
      <t xml:space="preserve">S </t>
    </r>
    <r>
      <rPr>
        <sz val="11"/>
        <rFont val="Noto Sans CJK SC"/>
        <family val="2"/>
      </rPr>
      <t xml:space="preserve">規模（</t>
    </r>
    <r>
      <rPr>
        <sz val="11"/>
        <rFont val="Arial"/>
        <family val="0"/>
        <charset val="1"/>
      </rPr>
      <t xml:space="preserve">seed 20260905</t>
    </r>
    <r>
      <rPr>
        <sz val="11"/>
        <rFont val="Noto Sans CJK SC"/>
        <family val="2"/>
      </rPr>
      <t xml:space="preserve">）。</t>
    </r>
  </si>
  <si>
    <t xml:space="preserve">三張表</t>
  </si>
  <si>
    <t xml:space="preserve">「書籍」「會員」是名冊，「借閱」是流水帳，一次借還一列。</t>
  </si>
  <si>
    <t xml:space="preserve">怎麼借出</t>
  </si>
  <si>
    <r>
      <rPr>
        <sz val="11"/>
        <rFont val="Noto Sans CJK SC"/>
        <family val="2"/>
      </rPr>
      <t xml:space="preserve">到「借閱」最下面新增一列：填會員編號、</t>
    </r>
    <r>
      <rPr>
        <sz val="11"/>
        <rFont val="Arial"/>
        <family val="0"/>
        <charset val="1"/>
      </rPr>
      <t xml:space="preserve">ISBN</t>
    </r>
    <r>
      <rPr>
        <sz val="11"/>
        <rFont val="Noto Sans CJK SC"/>
        <family val="2"/>
      </rPr>
      <t xml:space="preserve">、借出日期，歸還日期留空。</t>
    </r>
  </si>
  <si>
    <t xml:space="preserve">怎麼歸還</t>
  </si>
  <si>
    <r>
      <rPr>
        <sz val="11"/>
        <rFont val="Noto Sans CJK SC"/>
        <family val="2"/>
      </rPr>
      <t xml:space="preserve">在「借閱」找到那一列（用篩選：</t>
    </r>
    <r>
      <rPr>
        <sz val="11"/>
        <rFont val="Arial"/>
        <family val="0"/>
        <charset val="1"/>
      </rPr>
      <t xml:space="preserve">ISBN</t>
    </r>
    <r>
      <rPr>
        <sz val="11"/>
        <rFont val="Noto Sans CJK SC"/>
        <family val="2"/>
      </rPr>
      <t xml:space="preserve">＝該書、歸還日期＝空白），填上歸還日期。</t>
    </r>
  </si>
  <si>
    <t xml:space="preserve">可以改的格</t>
  </si>
  <si>
    <r>
      <rPr>
        <sz val="11"/>
        <rFont val="Noto Sans CJK SC"/>
        <family val="2"/>
      </rPr>
      <t xml:space="preserve">藍字是手填資料，黑字是公式，綠字是查表帶出來的。公式範圍到第 </t>
    </r>
    <r>
      <rPr>
        <sz val="11"/>
        <rFont val="Arial"/>
        <family val="0"/>
        <charset val="1"/>
      </rPr>
      <t xml:space="preserve">2000 </t>
    </r>
    <r>
      <rPr>
        <sz val="11"/>
        <rFont val="Noto Sans CJK SC"/>
        <family val="2"/>
      </rPr>
      <t xml:space="preserve">列。</t>
    </r>
  </si>
  <si>
    <t xml:space="preserve">會被擋下的</t>
  </si>
  <si>
    <r>
      <rPr>
        <sz val="11"/>
        <rFont val="Noto Sans CJK SC"/>
        <family val="2"/>
      </rPr>
      <t xml:space="preserve">會員編號、</t>
    </r>
    <r>
      <rPr>
        <sz val="11"/>
        <rFont val="Arial"/>
        <family val="0"/>
        <charset val="1"/>
      </rPr>
      <t xml:space="preserve">ISBN </t>
    </r>
    <r>
      <rPr>
        <sz val="11"/>
        <rFont val="Noto Sans CJK SC"/>
        <family val="2"/>
      </rPr>
      <t xml:space="preserve">只能從下拉清單選（資料驗證），打錯會拒絕。</t>
    </r>
  </si>
  <si>
    <t xml:space="preserve">不會被擋下的</t>
  </si>
  <si>
    <t xml:space="preserve">同一本書借出中再借一次。試算表只會在「書籍」把未歸還筆數標紅，不會阻止你新增那一列。</t>
  </si>
  <si>
    <t xml:space="preserve">會員編號</t>
  </si>
  <si>
    <t xml:space="preserve">ISBN</t>
  </si>
  <si>
    <t xml:space="preserve">借出日期</t>
  </si>
  <si>
    <t xml:space="preserve">歸還日期</t>
  </si>
  <si>
    <t xml:space="preserve">書名</t>
  </si>
  <si>
    <t xml:space="preserve">姓名</t>
  </si>
  <si>
    <t xml:space="preserve">狀態</t>
  </si>
  <si>
    <t xml:space="preserve">M00033</t>
  </si>
  <si>
    <t xml:space="preserve">9789250038261</t>
  </si>
  <si>
    <t xml:space="preserve">M00014</t>
  </si>
  <si>
    <t xml:space="preserve">9789583750502</t>
  </si>
  <si>
    <t xml:space="preserve">M00019</t>
  </si>
  <si>
    <t xml:space="preserve">9781422930533</t>
  </si>
  <si>
    <t xml:space="preserve">M00023</t>
  </si>
  <si>
    <t xml:space="preserve">9783842462014</t>
  </si>
  <si>
    <t xml:space="preserve">M00017</t>
  </si>
  <si>
    <t xml:space="preserve">9787563547494</t>
  </si>
  <si>
    <t xml:space="preserve">M00009</t>
  </si>
  <si>
    <t xml:space="preserve">9786362213715</t>
  </si>
  <si>
    <t xml:space="preserve">M00021</t>
  </si>
  <si>
    <t xml:space="preserve">9781266632761</t>
  </si>
  <si>
    <t xml:space="preserve">9781039781429</t>
  </si>
  <si>
    <t xml:space="preserve">M00025</t>
  </si>
  <si>
    <t xml:space="preserve">9782626359199</t>
  </si>
  <si>
    <t xml:space="preserve">9788754426529</t>
  </si>
  <si>
    <t xml:space="preserve">M00030</t>
  </si>
  <si>
    <t xml:space="preserve">9787027776118</t>
  </si>
  <si>
    <t xml:space="preserve">M00039</t>
  </si>
  <si>
    <t xml:space="preserve">9787131573955</t>
  </si>
  <si>
    <t xml:space="preserve">M00010</t>
  </si>
  <si>
    <t xml:space="preserve">9787524816980</t>
  </si>
  <si>
    <t xml:space="preserve">M00037</t>
  </si>
  <si>
    <t xml:space="preserve">9781111057398</t>
  </si>
  <si>
    <t xml:space="preserve">9787001201254</t>
  </si>
  <si>
    <t xml:space="preserve">M00015</t>
  </si>
  <si>
    <t xml:space="preserve">9786560070080</t>
  </si>
  <si>
    <t xml:space="preserve">M00031</t>
  </si>
  <si>
    <t xml:space="preserve">9782853749442</t>
  </si>
  <si>
    <t xml:space="preserve">9782170876418</t>
  </si>
  <si>
    <t xml:space="preserve">M00027</t>
  </si>
  <si>
    <t xml:space="preserve">9787565241598</t>
  </si>
  <si>
    <t xml:space="preserve">M00038</t>
  </si>
  <si>
    <t xml:space="preserve">9789264167339</t>
  </si>
  <si>
    <t xml:space="preserve">M00029</t>
  </si>
  <si>
    <t xml:space="preserve">9784780777710</t>
  </si>
  <si>
    <t xml:space="preserve">M00022</t>
  </si>
  <si>
    <t xml:space="preserve">9789421448868</t>
  </si>
  <si>
    <t xml:space="preserve">9783909219179</t>
  </si>
  <si>
    <t xml:space="preserve">M00013</t>
  </si>
  <si>
    <t xml:space="preserve">9780450426131</t>
  </si>
  <si>
    <t xml:space="preserve">9788508142675</t>
  </si>
  <si>
    <t xml:space="preserve">M00004</t>
  </si>
  <si>
    <t xml:space="preserve">9781100398464</t>
  </si>
  <si>
    <t xml:space="preserve">M00005</t>
  </si>
  <si>
    <t xml:space="preserve">9786527365532</t>
  </si>
  <si>
    <t xml:space="preserve">9781332259168</t>
  </si>
  <si>
    <t xml:space="preserve">9783516770131</t>
  </si>
  <si>
    <t xml:space="preserve">M00016</t>
  </si>
  <si>
    <t xml:space="preserve">9787565428135</t>
  </si>
  <si>
    <t xml:space="preserve">9789677557680</t>
  </si>
  <si>
    <t xml:space="preserve">M00035</t>
  </si>
  <si>
    <t xml:space="preserve">9781351265959</t>
  </si>
  <si>
    <t xml:space="preserve">M00040</t>
  </si>
  <si>
    <t xml:space="preserve">9789136884739</t>
  </si>
  <si>
    <t xml:space="preserve">9785356474316</t>
  </si>
  <si>
    <t xml:space="preserve">M00002</t>
  </si>
  <si>
    <t xml:space="preserve">9781249189732</t>
  </si>
  <si>
    <t xml:space="preserve">9780414474918</t>
  </si>
  <si>
    <t xml:space="preserve">9788817790932</t>
  </si>
  <si>
    <t xml:space="preserve">9782524309364</t>
  </si>
  <si>
    <t xml:space="preserve">9784627430051</t>
  </si>
  <si>
    <t xml:space="preserve">9782085487334</t>
  </si>
  <si>
    <t xml:space="preserve">M00001</t>
  </si>
  <si>
    <t xml:space="preserve">9788215834962</t>
  </si>
  <si>
    <t xml:space="preserve">9784278069150</t>
  </si>
  <si>
    <t xml:space="preserve">9785847120432</t>
  </si>
  <si>
    <t xml:space="preserve">9783703447006</t>
  </si>
  <si>
    <t xml:space="preserve">9784456274666</t>
  </si>
  <si>
    <t xml:space="preserve">M00028</t>
  </si>
  <si>
    <t xml:space="preserve">9781003405061</t>
  </si>
  <si>
    <t xml:space="preserve">M00032</t>
  </si>
  <si>
    <t xml:space="preserve">9788955488630</t>
  </si>
  <si>
    <t xml:space="preserve">M00006</t>
  </si>
  <si>
    <t xml:space="preserve">9781009488556</t>
  </si>
  <si>
    <t xml:space="preserve">M00020</t>
  </si>
  <si>
    <t xml:space="preserve">9788453308409</t>
  </si>
  <si>
    <t xml:space="preserve">M00003</t>
  </si>
  <si>
    <t xml:space="preserve">9789582122263</t>
  </si>
  <si>
    <t xml:space="preserve">9784340764709</t>
  </si>
  <si>
    <t xml:space="preserve">9781157470175</t>
  </si>
  <si>
    <t xml:space="preserve">9783614830621</t>
  </si>
  <si>
    <t xml:space="preserve">9789955491217</t>
  </si>
  <si>
    <t xml:space="preserve">M00026</t>
  </si>
  <si>
    <t xml:space="preserve">9782544719846</t>
  </si>
  <si>
    <t xml:space="preserve">9788332612252</t>
  </si>
  <si>
    <t xml:space="preserve">9786165615471</t>
  </si>
  <si>
    <t xml:space="preserve">9789987303588</t>
  </si>
  <si>
    <t xml:space="preserve">9782919809752</t>
  </si>
  <si>
    <t xml:space="preserve">M00011</t>
  </si>
  <si>
    <t xml:space="preserve">9781913485597</t>
  </si>
  <si>
    <t xml:space="preserve">9781682307557</t>
  </si>
  <si>
    <t xml:space="preserve">M00007</t>
  </si>
  <si>
    <t xml:space="preserve">9785567735947</t>
  </si>
  <si>
    <t xml:space="preserve">9784874298404</t>
  </si>
  <si>
    <t xml:space="preserve">9787223804837</t>
  </si>
  <si>
    <t xml:space="preserve">9785317555528</t>
  </si>
  <si>
    <t xml:space="preserve">9785098511393</t>
  </si>
  <si>
    <t xml:space="preserve">M00034</t>
  </si>
  <si>
    <t xml:space="preserve">9786979510511</t>
  </si>
  <si>
    <t xml:space="preserve">9784866395173</t>
  </si>
  <si>
    <t xml:space="preserve">9785454567279</t>
  </si>
  <si>
    <t xml:space="preserve">9788729983132</t>
  </si>
  <si>
    <t xml:space="preserve">9780933640344</t>
  </si>
  <si>
    <t xml:space="preserve">9789046821947</t>
  </si>
  <si>
    <t xml:space="preserve">M00012</t>
  </si>
  <si>
    <t xml:space="preserve">M00036</t>
  </si>
  <si>
    <t xml:space="preserve">9788221677171</t>
  </si>
  <si>
    <t xml:space="preserve">9780149928724</t>
  </si>
  <si>
    <t xml:space="preserve">9785571044141</t>
  </si>
  <si>
    <t xml:space="preserve">9789528573845</t>
  </si>
  <si>
    <t xml:space="preserve">9781679983634</t>
  </si>
  <si>
    <t xml:space="preserve">9783267198192</t>
  </si>
  <si>
    <t xml:space="preserve">9788078909548</t>
  </si>
  <si>
    <t xml:space="preserve">9787295557518</t>
  </si>
  <si>
    <t xml:space="preserve">9782399265161</t>
  </si>
  <si>
    <t xml:space="preserve">9788920199394</t>
  </si>
  <si>
    <t xml:space="preserve">9789396519815</t>
  </si>
  <si>
    <t xml:space="preserve">9784071906799</t>
  </si>
  <si>
    <t xml:space="preserve">9789108093800</t>
  </si>
  <si>
    <t xml:space="preserve">9788030133486</t>
  </si>
  <si>
    <t xml:space="preserve">9781904115427</t>
  </si>
  <si>
    <t xml:space="preserve">9788560215263</t>
  </si>
  <si>
    <t xml:space="preserve">9786027249400</t>
  </si>
  <si>
    <t xml:space="preserve">9782016087992</t>
  </si>
  <si>
    <t xml:space="preserve">9781361566688</t>
  </si>
  <si>
    <t xml:space="preserve">9783672272210</t>
  </si>
  <si>
    <t xml:space="preserve">9785973343415</t>
  </si>
  <si>
    <t xml:space="preserve">9781249551331</t>
  </si>
  <si>
    <t xml:space="preserve">9786022456629</t>
  </si>
  <si>
    <t xml:space="preserve">M00024</t>
  </si>
  <si>
    <t xml:space="preserve">9783638536950</t>
  </si>
  <si>
    <t xml:space="preserve">9789965256653</t>
  </si>
  <si>
    <t xml:space="preserve">9781315070797</t>
  </si>
  <si>
    <t xml:space="preserve">9783504890421</t>
  </si>
  <si>
    <t xml:space="preserve">9789730594157</t>
  </si>
  <si>
    <t xml:space="preserve">M00018</t>
  </si>
  <si>
    <t xml:space="preserve">M00008</t>
  </si>
  <si>
    <t xml:space="preserve">作者</t>
  </si>
  <si>
    <t xml:space="preserve">未歸還筆數</t>
  </si>
  <si>
    <t xml:space="preserve">借閱次數</t>
  </si>
  <si>
    <t xml:space="preserve">排序鍵</t>
  </si>
  <si>
    <t xml:space="preserve">遺失的鋼琴師</t>
  </si>
  <si>
    <t xml:space="preserve">郭雅婷</t>
  </si>
  <si>
    <t xml:space="preserve">雨中書店</t>
  </si>
  <si>
    <t xml:space="preserve">張宜庭</t>
  </si>
  <si>
    <t xml:space="preserve">會說話的偵探</t>
  </si>
  <si>
    <t xml:space="preserve">張家豪</t>
  </si>
  <si>
    <t xml:space="preserve">最後一個祕密</t>
  </si>
  <si>
    <t xml:space="preserve">許妍希</t>
  </si>
  <si>
    <t xml:space="preserve">小鎮偵探</t>
  </si>
  <si>
    <t xml:space="preserve">林沐恩</t>
  </si>
  <si>
    <t xml:space="preserve">地下室貓</t>
  </si>
  <si>
    <t xml:space="preserve">吳建宏</t>
  </si>
  <si>
    <t xml:space="preserve">沉默的鐘樓</t>
  </si>
  <si>
    <t xml:space="preserve">許俊傑</t>
  </si>
  <si>
    <t xml:space="preserve">十二個河</t>
  </si>
  <si>
    <t xml:space="preserve">張睦晨</t>
  </si>
  <si>
    <t xml:space="preserve">海邊的季節</t>
  </si>
  <si>
    <t xml:space="preserve">王妍希</t>
  </si>
  <si>
    <t xml:space="preserve">深夜的約定</t>
  </si>
  <si>
    <t xml:space="preserve">謝禹安</t>
  </si>
  <si>
    <t xml:space="preserve">海邊的旅人</t>
  </si>
  <si>
    <t xml:space="preserve">北方信</t>
  </si>
  <si>
    <t xml:space="preserve">張禹安</t>
  </si>
  <si>
    <t xml:space="preserve">半路上的祕密</t>
  </si>
  <si>
    <t xml:space="preserve">吳妍希</t>
  </si>
  <si>
    <t xml:space="preserve">海邊的貓</t>
  </si>
  <si>
    <t xml:space="preserve">賴怡君</t>
  </si>
  <si>
    <t xml:space="preserve">看不見的咖啡館</t>
  </si>
  <si>
    <t xml:space="preserve">楊承翰</t>
  </si>
  <si>
    <t xml:space="preserve">看不見的廚房</t>
  </si>
  <si>
    <t xml:space="preserve">劉佩珊</t>
  </si>
  <si>
    <t xml:space="preserve">沉默的森林</t>
  </si>
  <si>
    <t xml:space="preserve">劉思妤</t>
  </si>
  <si>
    <t xml:space="preserve">藍色河</t>
  </si>
  <si>
    <t xml:space="preserve">謝子涵</t>
  </si>
  <si>
    <t xml:space="preserve">微小的郵差</t>
  </si>
  <si>
    <t xml:space="preserve">鄭芃穎</t>
  </si>
  <si>
    <t xml:space="preserve">最後一個偵探</t>
  </si>
  <si>
    <t xml:space="preserve">張佩珊</t>
  </si>
  <si>
    <t xml:space="preserve">看不見的信</t>
  </si>
  <si>
    <t xml:space="preserve">周宗翰</t>
  </si>
  <si>
    <t xml:space="preserve">沉默的廚房</t>
  </si>
  <si>
    <t xml:space="preserve">周承翰</t>
  </si>
  <si>
    <t xml:space="preserve">十二個廚房</t>
  </si>
  <si>
    <t xml:space="preserve">黃承翰</t>
  </si>
  <si>
    <t xml:space="preserve">半路上的郵差</t>
  </si>
  <si>
    <t xml:space="preserve">賴芷萱</t>
  </si>
  <si>
    <t xml:space="preserve">十二個鐘樓</t>
  </si>
  <si>
    <t xml:space="preserve">黃語彤</t>
  </si>
  <si>
    <t xml:space="preserve">深夜的鋼琴師</t>
  </si>
  <si>
    <t xml:space="preserve">謝俊傑</t>
  </si>
  <si>
    <t xml:space="preserve">紙上的鋼琴師</t>
  </si>
  <si>
    <t xml:space="preserve">陳季軒</t>
  </si>
  <si>
    <t xml:space="preserve">兩個人的森林</t>
  </si>
  <si>
    <t xml:space="preserve">曾妍希</t>
  </si>
  <si>
    <t xml:space="preserve">深夜的燈塔</t>
  </si>
  <si>
    <t xml:space="preserve">郭彥廷</t>
  </si>
  <si>
    <t xml:space="preserve">月球回信</t>
  </si>
  <si>
    <t xml:space="preserve">黃怡君</t>
  </si>
  <si>
    <t xml:space="preserve">月球旅人</t>
  </si>
  <si>
    <t xml:space="preserve">曾柏翰</t>
  </si>
  <si>
    <t xml:space="preserve">會說話的夏天</t>
  </si>
  <si>
    <t xml:space="preserve">蔡祐誠</t>
  </si>
  <si>
    <t xml:space="preserve">藍色咖啡館</t>
  </si>
  <si>
    <t xml:space="preserve">吳雅婷</t>
  </si>
  <si>
    <t xml:space="preserve">第七號地圖</t>
  </si>
  <si>
    <t xml:space="preserve">郭祐誠</t>
  </si>
  <si>
    <t xml:space="preserve">十二個書店</t>
  </si>
  <si>
    <t xml:space="preserve">賴志明</t>
  </si>
  <si>
    <t xml:space="preserve">看不見的鋼琴師</t>
  </si>
  <si>
    <t xml:space="preserve">許若瑜</t>
  </si>
  <si>
    <t xml:space="preserve">看不見的鐘樓</t>
  </si>
  <si>
    <t xml:space="preserve">陳佩珊</t>
  </si>
  <si>
    <t xml:space="preserve">深夜的河</t>
  </si>
  <si>
    <t xml:space="preserve">李季軒</t>
  </si>
  <si>
    <t xml:space="preserve">漫長的鐘樓</t>
  </si>
  <si>
    <t xml:space="preserve">黃建宏</t>
  </si>
  <si>
    <t xml:space="preserve">漫長的夏天</t>
  </si>
  <si>
    <t xml:space="preserve">黃子涵</t>
  </si>
  <si>
    <t xml:space="preserve">海邊的廚房</t>
  </si>
  <si>
    <t xml:space="preserve">許祐誠</t>
  </si>
  <si>
    <t xml:space="preserve">藍色約定</t>
  </si>
  <si>
    <t xml:space="preserve">李宥辰</t>
  </si>
  <si>
    <t xml:space="preserve">十二個島</t>
  </si>
  <si>
    <t xml:space="preserve">曾雅婷</t>
  </si>
  <si>
    <t xml:space="preserve">月球燈塔</t>
  </si>
  <si>
    <t xml:space="preserve">廖宗翰</t>
  </si>
  <si>
    <t xml:space="preserve">漫長的鋼琴師</t>
  </si>
  <si>
    <t xml:space="preserve">李品妍</t>
  </si>
  <si>
    <t xml:space="preserve">雨中燈塔</t>
  </si>
  <si>
    <t xml:space="preserve">廖宥辰</t>
  </si>
  <si>
    <t xml:space="preserve">地下室夏天</t>
  </si>
  <si>
    <t xml:space="preserve">陳祐誠</t>
  </si>
  <si>
    <t xml:space="preserve">會說話的手記</t>
  </si>
  <si>
    <t xml:space="preserve">洪建宏</t>
  </si>
  <si>
    <t xml:space="preserve">沉默的鋼琴師</t>
  </si>
  <si>
    <t xml:space="preserve">吳沐恩</t>
  </si>
  <si>
    <t xml:space="preserve">遺失的地圖</t>
  </si>
  <si>
    <t xml:space="preserve">林淑芬</t>
  </si>
  <si>
    <t xml:space="preserve">圖書館地圖</t>
  </si>
  <si>
    <t xml:space="preserve">林祐誠</t>
  </si>
  <si>
    <t xml:space="preserve">紙上的書店</t>
  </si>
  <si>
    <t xml:space="preserve">蔡語彤</t>
  </si>
  <si>
    <t xml:space="preserve">微小的祕密</t>
  </si>
  <si>
    <t xml:space="preserve">陳妍希</t>
  </si>
  <si>
    <t xml:space="preserve">月球廚房</t>
  </si>
  <si>
    <t xml:space="preserve">洪妍希</t>
  </si>
  <si>
    <t xml:space="preserve">深夜的咖啡館</t>
  </si>
  <si>
    <t xml:space="preserve">李怡君</t>
  </si>
  <si>
    <t xml:space="preserve">看不見的花園</t>
  </si>
  <si>
    <t xml:space="preserve">蔡佩珊</t>
  </si>
  <si>
    <t xml:space="preserve">漫長的偵探</t>
  </si>
  <si>
    <t xml:space="preserve">陳禹安</t>
  </si>
  <si>
    <t xml:space="preserve">漫長的咖啡館</t>
  </si>
  <si>
    <t xml:space="preserve">邱芃穎</t>
  </si>
  <si>
    <t xml:space="preserve">林柏翰</t>
  </si>
  <si>
    <t xml:space="preserve">最後一個森林</t>
  </si>
  <si>
    <t xml:space="preserve">張沐恩</t>
  </si>
  <si>
    <t xml:space="preserve">地下室地圖</t>
  </si>
  <si>
    <t xml:space="preserve">郭佩珊</t>
  </si>
  <si>
    <t xml:space="preserve">藍色季節</t>
  </si>
  <si>
    <t xml:space="preserve">漫長的回信</t>
  </si>
  <si>
    <t xml:space="preserve">邱佩珊</t>
  </si>
  <si>
    <t xml:space="preserve">深夜的季節</t>
  </si>
  <si>
    <t xml:space="preserve">曾志明</t>
  </si>
  <si>
    <t xml:space="preserve">最後一個花園</t>
  </si>
  <si>
    <t xml:space="preserve">陳柏翰</t>
  </si>
  <si>
    <t xml:space="preserve">月球書店</t>
  </si>
  <si>
    <t xml:space="preserve">林語彤</t>
  </si>
  <si>
    <t xml:space="preserve">藍色手記</t>
  </si>
  <si>
    <t xml:space="preserve">北方廚房</t>
  </si>
  <si>
    <t xml:space="preserve">周詠晴</t>
  </si>
  <si>
    <t xml:space="preserve">第七號鐘樓</t>
  </si>
  <si>
    <t xml:space="preserve">楊季軒</t>
  </si>
  <si>
    <t xml:space="preserve">兩個人的偵探</t>
  </si>
  <si>
    <t xml:space="preserve">賴家豪</t>
  </si>
  <si>
    <t xml:space="preserve">地下室鋼琴師</t>
  </si>
  <si>
    <t xml:space="preserve">邱美玲</t>
  </si>
  <si>
    <t xml:space="preserve">冬季約定</t>
  </si>
  <si>
    <t xml:space="preserve">邱沐恩</t>
  </si>
  <si>
    <t xml:space="preserve">藍色花園</t>
  </si>
  <si>
    <t xml:space="preserve">廖承翰</t>
  </si>
  <si>
    <t xml:space="preserve">半路上的回信</t>
  </si>
  <si>
    <t xml:space="preserve">洪沐恩</t>
  </si>
  <si>
    <t xml:space="preserve">深夜的島</t>
  </si>
  <si>
    <t xml:space="preserve">小鎮咖啡館</t>
  </si>
  <si>
    <t xml:space="preserve">楊宜庭</t>
  </si>
  <si>
    <t xml:space="preserve">紙上的手記</t>
  </si>
  <si>
    <t xml:space="preserve">黃家豪</t>
  </si>
  <si>
    <t xml:space="preserve">月球貓</t>
  </si>
  <si>
    <t xml:space="preserve">黃芃穎</t>
  </si>
  <si>
    <t xml:space="preserve">漫長的書店</t>
  </si>
  <si>
    <t xml:space="preserve">廖沐恩</t>
  </si>
  <si>
    <t xml:space="preserve">轉角夏天</t>
  </si>
  <si>
    <t xml:space="preserve">海邊的森林</t>
  </si>
  <si>
    <t xml:space="preserve">藍色郵差</t>
  </si>
  <si>
    <t xml:space="preserve">劉芃穎</t>
  </si>
  <si>
    <t xml:space="preserve">小鎮河</t>
  </si>
  <si>
    <t xml:space="preserve">洪冠宇</t>
  </si>
  <si>
    <t xml:space="preserve">李美玲</t>
  </si>
  <si>
    <t xml:space="preserve">邱禹安</t>
  </si>
  <si>
    <t xml:space="preserve">深夜的手記</t>
  </si>
  <si>
    <t xml:space="preserve">郭睦晨</t>
  </si>
  <si>
    <t xml:space="preserve">地下室列車</t>
  </si>
  <si>
    <t xml:space="preserve">鄭芷萱</t>
  </si>
  <si>
    <t xml:space="preserve">吳冠宇</t>
  </si>
  <si>
    <t xml:space="preserve">月球花園</t>
  </si>
  <si>
    <t xml:space="preserve">王祐誠</t>
  </si>
  <si>
    <t xml:space="preserve">月球地圖</t>
  </si>
  <si>
    <t xml:space="preserve">黃沐恩</t>
  </si>
  <si>
    <t xml:space="preserve">會說話的貓</t>
  </si>
  <si>
    <t xml:space="preserve">楊詠晴</t>
  </si>
  <si>
    <t xml:space="preserve">漫長的季節</t>
  </si>
  <si>
    <t xml:space="preserve">鄭俊傑</t>
  </si>
  <si>
    <t xml:space="preserve">遠方的花園</t>
  </si>
  <si>
    <t xml:space="preserve">藍色祕密</t>
  </si>
  <si>
    <t xml:space="preserve">陳承翰</t>
  </si>
  <si>
    <t xml:space="preserve">雨中手記</t>
  </si>
  <si>
    <t xml:space="preserve">曾子涵</t>
  </si>
  <si>
    <t xml:space="preserve">小鎮森林</t>
  </si>
  <si>
    <t xml:space="preserve">廖詠晴</t>
  </si>
  <si>
    <t xml:space="preserve">轉角鋼琴師</t>
  </si>
  <si>
    <t xml:space="preserve">李冠宇</t>
  </si>
  <si>
    <t xml:space="preserve">紙上的祕密</t>
  </si>
  <si>
    <t xml:space="preserve">郭子涵</t>
  </si>
  <si>
    <t xml:space="preserve">電話</t>
  </si>
  <si>
    <t xml:space="preserve">未歸還數</t>
  </si>
  <si>
    <t xml:space="preserve">楊芷萱</t>
  </si>
  <si>
    <t xml:space="preserve">0936-165-072</t>
  </si>
  <si>
    <t xml:space="preserve">洪詠晴</t>
  </si>
  <si>
    <t xml:space="preserve">0910-367-676</t>
  </si>
  <si>
    <t xml:space="preserve">0929-023-911</t>
  </si>
  <si>
    <t xml:space="preserve">郭柏翰</t>
  </si>
  <si>
    <t xml:space="preserve">0917-210-924</t>
  </si>
  <si>
    <t xml:space="preserve">賴建宏</t>
  </si>
  <si>
    <t xml:space="preserve">0917-987-393</t>
  </si>
  <si>
    <t xml:space="preserve">廖品妍</t>
  </si>
  <si>
    <t xml:space="preserve">0955-170-966</t>
  </si>
  <si>
    <t xml:space="preserve">郭詠晴</t>
  </si>
  <si>
    <t xml:space="preserve">0981-142-385</t>
  </si>
  <si>
    <t xml:space="preserve">吳彥廷</t>
  </si>
  <si>
    <t xml:space="preserve">0927-825-558</t>
  </si>
  <si>
    <t xml:space="preserve">李子涵</t>
  </si>
  <si>
    <t xml:space="preserve">0948-360-474</t>
  </si>
  <si>
    <t xml:space="preserve">0977-780-468</t>
  </si>
  <si>
    <t xml:space="preserve">0977-202-111</t>
  </si>
  <si>
    <t xml:space="preserve">劉柏翰</t>
  </si>
  <si>
    <t xml:space="preserve">0937-771-221</t>
  </si>
  <si>
    <t xml:space="preserve">0984-400-992</t>
  </si>
  <si>
    <t xml:space="preserve">0916-638-588</t>
  </si>
  <si>
    <t xml:space="preserve">0933-652-721</t>
  </si>
  <si>
    <t xml:space="preserve">蔡季軒</t>
  </si>
  <si>
    <t xml:space="preserve">0974-512-720</t>
  </si>
  <si>
    <t xml:space="preserve">吳芃穎</t>
  </si>
  <si>
    <t xml:space="preserve">0975-701-349</t>
  </si>
  <si>
    <t xml:space="preserve">張季軒</t>
  </si>
  <si>
    <t xml:space="preserve">0963-031-018</t>
  </si>
  <si>
    <t xml:space="preserve">曾淑芬</t>
  </si>
  <si>
    <t xml:space="preserve">0947-603-550</t>
  </si>
  <si>
    <t xml:space="preserve">王芷萱</t>
  </si>
  <si>
    <t xml:space="preserve">0912-367-140</t>
  </si>
  <si>
    <t xml:space="preserve">蔡彥廷</t>
  </si>
  <si>
    <t xml:space="preserve">0920-192-270</t>
  </si>
  <si>
    <t xml:space="preserve">0919-481-710</t>
  </si>
  <si>
    <t xml:space="preserve">郭妍希</t>
  </si>
  <si>
    <t xml:space="preserve">0981-051-919</t>
  </si>
  <si>
    <t xml:space="preserve">陳雅婷</t>
  </si>
  <si>
    <t xml:space="preserve">0922-051-828</t>
  </si>
  <si>
    <t xml:space="preserve">郭芷萱</t>
  </si>
  <si>
    <t xml:space="preserve">0914-620-818</t>
  </si>
  <si>
    <t xml:space="preserve">0968-101-457</t>
  </si>
  <si>
    <t xml:space="preserve">洪季軒</t>
  </si>
  <si>
    <t xml:space="preserve">0941-372-281</t>
  </si>
  <si>
    <t xml:space="preserve">0958-430-104</t>
  </si>
  <si>
    <t xml:space="preserve">賴思妤</t>
  </si>
  <si>
    <t xml:space="preserve">0920-320-349</t>
  </si>
  <si>
    <t xml:space="preserve">賴佩珊</t>
  </si>
  <si>
    <t xml:space="preserve">0942-683-530</t>
  </si>
  <si>
    <t xml:space="preserve">林子涵</t>
  </si>
  <si>
    <t xml:space="preserve">0996-538-483</t>
  </si>
  <si>
    <t xml:space="preserve">邱承翰</t>
  </si>
  <si>
    <t xml:space="preserve">0953-373-239</t>
  </si>
  <si>
    <t xml:space="preserve">王思妤</t>
  </si>
  <si>
    <t xml:space="preserve">0910-023-973</t>
  </si>
  <si>
    <t xml:space="preserve">周彥廷</t>
  </si>
  <si>
    <t xml:space="preserve">0948-770-090</t>
  </si>
  <si>
    <t xml:space="preserve">黃芷萱</t>
  </si>
  <si>
    <t xml:space="preserve">0972-946-922</t>
  </si>
  <si>
    <t xml:space="preserve">0974-270-877</t>
  </si>
  <si>
    <t xml:space="preserve">郭思妤</t>
  </si>
  <si>
    <t xml:space="preserve">0996-571-401</t>
  </si>
  <si>
    <t xml:space="preserve">0982-889-475</t>
  </si>
  <si>
    <t xml:space="preserve">蔡宜庭</t>
  </si>
  <si>
    <t xml:space="preserve">0924-191-810</t>
  </si>
  <si>
    <t xml:space="preserve">吳柏翰</t>
  </si>
  <si>
    <t xml:space="preserve">0918-346-351</t>
  </si>
  <si>
    <t xml:space="preserve">借閱總筆數</t>
  </si>
  <si>
    <t xml:space="preserve">名次</t>
  </si>
  <si>
    <t xml:space="preserve">借出中的書（本）</t>
  </si>
  <si>
    <t xml:space="preserve">重複借出的書（本）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</si>
</sst>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Noto Sans CJK SC"/>
      <family val="2"/>
    </font>
    <font>
      <b val="true"/>
      <sz val="12"/>
      <name val="Arial"/>
      <family val="0"/>
      <charset val="1"/>
    </font>
    <font>
      <sz val="11"/>
      <name val="Arial"/>
      <family val="0"/>
      <charset val="1"/>
    </font>
    <font>
      <b val="true"/>
      <sz val="10"/>
      <name val="Noto Sans CJK SC"/>
      <family val="2"/>
    </font>
    <font>
      <sz val="11"/>
      <name val="Noto Sans CJK SC"/>
      <family val="2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Noto Sans CJK SC"/>
      <family val="2"/>
    </font>
    <font>
      <sz val="11"/>
      <color rgb="FF000000"/>
      <name val="Noto Sans CJK SC"/>
      <family val="2"/>
    </font>
    <font>
      <sz val="11"/>
      <color rgb="FF0000FF"/>
      <name val="Noto Sans CJK SC"/>
      <family val="2"/>
    </font>
    <font>
      <sz val="11"/>
      <color rgb="FF000000"/>
      <name val="Arial"/>
      <family val="0"/>
      <charset val="1"/>
    </font>
    <font>
      <sz val="10"/>
      <name val="Noto Sans CJK SC"/>
      <family val="2"/>
    </font>
    <font>
      <sz val="10"/>
      <name val="Arial"/>
      <family val="2"/>
    </font>
    <font>
      <b val="true"/>
      <sz val="11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FECACA"/>
          <bgColor rgb="FF000000"/>
        </patternFill>
      </fill>
    </dxf>
    <dxf>
      <fill>
        <patternFill patternType="solid">
          <fgColor rgb="FF991B1B"/>
          <bgColor rgb="FF000000"/>
        </patternFill>
      </fill>
    </dxf>
    <dxf>
      <font>
        <name val="Arial"/>
        <charset val="1"/>
        <family val="0"/>
        <b val="1"/>
        <color rgb="FF991B1B"/>
      </font>
      <fill>
        <patternFill>
          <bgColor rgb="FFFECAC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ECAC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1B1B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0"/>
  </cols>
  <sheetData>
    <row r="1" customFormat="false" ht="19.4" hidden="false" customHeight="false" outlineLevel="0" collapsed="false">
      <c r="A1" s="1" t="s">
        <v>0</v>
      </c>
      <c r="B1" s="2"/>
    </row>
    <row r="2" customFormat="false" ht="32.8" hidden="false" customHeight="false" outlineLevel="0" collapsed="false">
      <c r="A2" s="3" t="s">
        <v>1</v>
      </c>
      <c r="B2" s="2" t="s">
        <v>2</v>
      </c>
    </row>
    <row r="3" customFormat="false" ht="17.15" hidden="false" customHeight="false" outlineLevel="0" collapsed="false">
      <c r="A3" s="3" t="s">
        <v>3</v>
      </c>
      <c r="B3" s="4" t="s">
        <v>4</v>
      </c>
    </row>
    <row r="4" customFormat="false" ht="17.15" hidden="false" customHeight="false" outlineLevel="0" collapsed="false">
      <c r="A4" s="3" t="s">
        <v>5</v>
      </c>
      <c r="B4" s="4" t="s">
        <v>6</v>
      </c>
    </row>
    <row r="5" customFormat="false" ht="17.15" hidden="false" customHeight="false" outlineLevel="0" collapsed="false">
      <c r="A5" s="3" t="s">
        <v>7</v>
      </c>
      <c r="B5" s="4" t="s">
        <v>8</v>
      </c>
    </row>
    <row r="6" customFormat="false" ht="17.15" hidden="false" customHeight="false" outlineLevel="0" collapsed="false">
      <c r="A6" s="3" t="s">
        <v>9</v>
      </c>
      <c r="B6" s="4" t="s">
        <v>10</v>
      </c>
    </row>
    <row r="7" customFormat="false" ht="17.15" hidden="false" customHeight="false" outlineLevel="0" collapsed="false">
      <c r="A7" s="3" t="s">
        <v>11</v>
      </c>
      <c r="B7" s="4" t="s">
        <v>12</v>
      </c>
    </row>
    <row r="8" customFormat="false" ht="17.15" hidden="false" customHeight="false" outlineLevel="0" collapsed="false">
      <c r="A8" s="3" t="s">
        <v>13</v>
      </c>
      <c r="B8" s="4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4" min="3" style="0" width="13"/>
    <col collapsed="false" customWidth="true" hidden="false" outlineLevel="0" max="5" min="5" style="0" width="20"/>
    <col collapsed="false" customWidth="true" hidden="false" outlineLevel="0" max="6" min="6" style="0" width="12"/>
    <col collapsed="false" customWidth="true" hidden="false" outlineLevel="0" max="7" min="7" style="0" width="8"/>
  </cols>
  <sheetData>
    <row r="1" customFormat="false" ht="21.75" hidden="false" customHeight="true" outlineLevel="0" collapsed="false">
      <c r="A1" s="5" t="s">
        <v>15</v>
      </c>
      <c r="B1" s="6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</row>
    <row r="2" customFormat="false" ht="15" hidden="false" customHeight="false" outlineLevel="0" collapsed="false">
      <c r="A2" s="7" t="s">
        <v>22</v>
      </c>
      <c r="B2" s="7" t="s">
        <v>23</v>
      </c>
      <c r="C2" s="8" t="n">
        <v>45659</v>
      </c>
      <c r="D2" s="8" t="n">
        <v>45678</v>
      </c>
      <c r="E2" s="9" t="str">
        <f aca="false">IF($B2="","",IFERROR(INDEX(書籍!$B$2:$B$2000,MATCH($B2,書籍!$A$2:$A$2000,0)),"（沒建檔）"))</f>
        <v>漫長的夏天</v>
      </c>
      <c r="F2" s="9" t="str">
        <f aca="false">IF($A2="","",IFERROR(INDEX(會員!$B$2:$B$2000,MATCH($A2,會員!$A$2:$A$2000,0)),"（沒建檔）"))</f>
        <v>王思妤</v>
      </c>
      <c r="G2" s="10" t="str">
        <f aca="false">IF($B2="","",IF($D2="","未還","已還"))</f>
        <v>已還</v>
      </c>
    </row>
    <row r="3" customFormat="false" ht="15" hidden="false" customHeight="false" outlineLevel="0" collapsed="false">
      <c r="A3" s="7" t="s">
        <v>24</v>
      </c>
      <c r="B3" s="7" t="s">
        <v>25</v>
      </c>
      <c r="C3" s="8" t="n">
        <v>45661</v>
      </c>
      <c r="D3" s="8" t="n">
        <v>45682</v>
      </c>
      <c r="E3" s="9" t="str">
        <f aca="false">IF($B3="","",IFERROR(INDEX(書籍!$B$2:$B$2000,MATCH($B3,書籍!$A$2:$A$2000,0)),"（沒建檔）"))</f>
        <v>看不見的咖啡館</v>
      </c>
      <c r="F3" s="9" t="str">
        <f aca="false">IF($A3="","",IFERROR(INDEX(會員!$B$2:$B$2000,MATCH($A3,會員!$A$2:$A$2000,0)),"（沒建檔）"))</f>
        <v>吳雅婷</v>
      </c>
      <c r="G3" s="10" t="str">
        <f aca="false">IF($B3="","",IF($D3="","未還","已還"))</f>
        <v>已還</v>
      </c>
    </row>
    <row r="4" customFormat="false" ht="15" hidden="false" customHeight="false" outlineLevel="0" collapsed="false">
      <c r="A4" s="7" t="s">
        <v>26</v>
      </c>
      <c r="B4" s="7" t="s">
        <v>27</v>
      </c>
      <c r="C4" s="8" t="n">
        <v>45661</v>
      </c>
      <c r="D4" s="8" t="n">
        <v>45665</v>
      </c>
      <c r="E4" s="9" t="str">
        <f aca="false">IF($B4="","",IFERROR(INDEX(書籍!$B$2:$B$2000,MATCH($B4,書籍!$A$2:$A$2000,0)),"（沒建檔）"))</f>
        <v>漫長的回信</v>
      </c>
      <c r="F4" s="9" t="str">
        <f aca="false">IF($A4="","",IFERROR(INDEX(會員!$B$2:$B$2000,MATCH($A4,會員!$A$2:$A$2000,0)),"（沒建檔）"))</f>
        <v>曾淑芬</v>
      </c>
      <c r="G4" s="10" t="str">
        <f aca="false">IF($B4="","",IF($D4="","未還","已還"))</f>
        <v>已還</v>
      </c>
    </row>
    <row r="5" customFormat="false" ht="15" hidden="false" customHeight="false" outlineLevel="0" collapsed="false">
      <c r="A5" s="7" t="s">
        <v>28</v>
      </c>
      <c r="B5" s="7" t="s">
        <v>29</v>
      </c>
      <c r="C5" s="8" t="n">
        <v>45662</v>
      </c>
      <c r="D5" s="8" t="n">
        <v>45688</v>
      </c>
      <c r="E5" s="9" t="str">
        <f aca="false">IF($B5="","",IFERROR(INDEX(書籍!$B$2:$B$2000,MATCH($B5,書籍!$A$2:$A$2000,0)),"（沒建檔）"))</f>
        <v>十二個廚房</v>
      </c>
      <c r="F5" s="9" t="str">
        <f aca="false">IF($A5="","",IFERROR(INDEX(會員!$B$2:$B$2000,MATCH($A5,會員!$A$2:$A$2000,0)),"（沒建檔）"))</f>
        <v>郭妍希</v>
      </c>
      <c r="G5" s="10" t="str">
        <f aca="false">IF($B5="","",IF($D5="","未還","已還"))</f>
        <v>已還</v>
      </c>
    </row>
    <row r="6" customFormat="false" ht="15" hidden="false" customHeight="false" outlineLevel="0" collapsed="false">
      <c r="A6" s="7" t="s">
        <v>30</v>
      </c>
      <c r="B6" s="7" t="s">
        <v>31</v>
      </c>
      <c r="C6" s="8" t="n">
        <v>45662</v>
      </c>
      <c r="D6" s="8" t="n">
        <v>45679</v>
      </c>
      <c r="E6" s="9" t="str">
        <f aca="false">IF($B6="","",IFERROR(INDEX(書籍!$B$2:$B$2000,MATCH($B6,書籍!$A$2:$A$2000,0)),"（沒建檔）"))</f>
        <v>沉默的鋼琴師</v>
      </c>
      <c r="F6" s="9" t="str">
        <f aca="false">IF($A6="","",IFERROR(INDEX(會員!$B$2:$B$2000,MATCH($A6,會員!$A$2:$A$2000,0)),"（沒建檔）"))</f>
        <v>吳芃穎</v>
      </c>
      <c r="G6" s="10" t="str">
        <f aca="false">IF($B6="","",IF($D6="","未還","已還"))</f>
        <v>已還</v>
      </c>
    </row>
    <row r="7" customFormat="false" ht="15" hidden="false" customHeight="false" outlineLevel="0" collapsed="false">
      <c r="A7" s="7" t="s">
        <v>32</v>
      </c>
      <c r="B7" s="7" t="s">
        <v>33</v>
      </c>
      <c r="C7" s="8" t="n">
        <v>45663</v>
      </c>
      <c r="D7" s="8" t="n">
        <v>45669</v>
      </c>
      <c r="E7" s="9" t="str">
        <f aca="false">IF($B7="","",IFERROR(INDEX(書籍!$B$2:$B$2000,MATCH($B7,書籍!$A$2:$A$2000,0)),"（沒建檔）"))</f>
        <v>海邊的旅人</v>
      </c>
      <c r="F7" s="9" t="str">
        <f aca="false">IF($A7="","",IFERROR(INDEX(會員!$B$2:$B$2000,MATCH($A7,會員!$A$2:$A$2000,0)),"（沒建檔）"))</f>
        <v>李子涵</v>
      </c>
      <c r="G7" s="10" t="str">
        <f aca="false">IF($B7="","",IF($D7="","未還","已還"))</f>
        <v>已還</v>
      </c>
    </row>
    <row r="8" customFormat="false" ht="15" hidden="false" customHeight="false" outlineLevel="0" collapsed="false">
      <c r="A8" s="7" t="s">
        <v>34</v>
      </c>
      <c r="B8" s="7" t="s">
        <v>35</v>
      </c>
      <c r="C8" s="8" t="n">
        <v>45663</v>
      </c>
      <c r="D8" s="8" t="n">
        <v>45665</v>
      </c>
      <c r="E8" s="9" t="str">
        <f aca="false">IF($B8="","",IFERROR(INDEX(書籍!$B$2:$B$2000,MATCH($B8,書籍!$A$2:$A$2000,0)),"（沒建檔）"))</f>
        <v>半路上的祕密</v>
      </c>
      <c r="F8" s="9" t="str">
        <f aca="false">IF($A8="","",IFERROR(INDEX(會員!$B$2:$B$2000,MATCH($A8,會員!$A$2:$A$2000,0)),"（沒建檔）"))</f>
        <v>蔡彥廷</v>
      </c>
      <c r="G8" s="10" t="str">
        <f aca="false">IF($B8="","",IF($D8="","未還","已還"))</f>
        <v>已還</v>
      </c>
    </row>
    <row r="9" customFormat="false" ht="15" hidden="false" customHeight="false" outlineLevel="0" collapsed="false">
      <c r="A9" s="7" t="s">
        <v>30</v>
      </c>
      <c r="B9" s="7" t="s">
        <v>36</v>
      </c>
      <c r="C9" s="8" t="n">
        <v>45664</v>
      </c>
      <c r="D9" s="8" t="n">
        <v>45672</v>
      </c>
      <c r="E9" s="9" t="str">
        <f aca="false">IF($B9="","",IFERROR(INDEX(書籍!$B$2:$B$2000,MATCH($B9,書籍!$A$2:$A$2000,0)),"（沒建檔）"))</f>
        <v>紙上的鋼琴師</v>
      </c>
      <c r="F9" s="9" t="str">
        <f aca="false">IF($A9="","",IFERROR(INDEX(會員!$B$2:$B$2000,MATCH($A9,會員!$A$2:$A$2000,0)),"（沒建檔）"))</f>
        <v>吳芃穎</v>
      </c>
      <c r="G9" s="10" t="str">
        <f aca="false">IF($B9="","",IF($D9="","未還","已還"))</f>
        <v>已還</v>
      </c>
    </row>
    <row r="10" customFormat="false" ht="15" hidden="false" customHeight="false" outlineLevel="0" collapsed="false">
      <c r="A10" s="7" t="s">
        <v>37</v>
      </c>
      <c r="B10" s="7" t="s">
        <v>38</v>
      </c>
      <c r="C10" s="8" t="n">
        <v>45666</v>
      </c>
      <c r="D10" s="8" t="n">
        <v>45695</v>
      </c>
      <c r="E10" s="9" t="str">
        <f aca="false">IF($B10="","",IFERROR(INDEX(書籍!$B$2:$B$2000,MATCH($B10,書籍!$A$2:$A$2000,0)),"（沒建檔）"))</f>
        <v>小鎮森林</v>
      </c>
      <c r="F10" s="9" t="str">
        <f aca="false">IF($A10="","",IFERROR(INDEX(會員!$B$2:$B$2000,MATCH($A10,會員!$A$2:$A$2000,0)),"（沒建檔）"))</f>
        <v>郭芷萱</v>
      </c>
      <c r="G10" s="10" t="str">
        <f aca="false">IF($B10="","",IF($D10="","未還","已還"))</f>
        <v>已還</v>
      </c>
    </row>
    <row r="11" customFormat="false" ht="15" hidden="false" customHeight="false" outlineLevel="0" collapsed="false">
      <c r="A11" s="7" t="s">
        <v>32</v>
      </c>
      <c r="B11" s="7" t="s">
        <v>39</v>
      </c>
      <c r="C11" s="8" t="n">
        <v>45666</v>
      </c>
      <c r="D11" s="8" t="n">
        <v>45680</v>
      </c>
      <c r="E11" s="9" t="str">
        <f aca="false">IF($B11="","",IFERROR(INDEX(書籍!$B$2:$B$2000,MATCH($B11,書籍!$A$2:$A$2000,0)),"（沒建檔）"))</f>
        <v>看不見的花園</v>
      </c>
      <c r="F11" s="9" t="str">
        <f aca="false">IF($A11="","",IFERROR(INDEX(會員!$B$2:$B$2000,MATCH($A11,會員!$A$2:$A$2000,0)),"（沒建檔）"))</f>
        <v>李子涵</v>
      </c>
      <c r="G11" s="10" t="str">
        <f aca="false">IF($B11="","",IF($D11="","未還","已還"))</f>
        <v>已還</v>
      </c>
    </row>
    <row r="12" customFormat="false" ht="15" hidden="false" customHeight="false" outlineLevel="0" collapsed="false">
      <c r="A12" s="7" t="s">
        <v>40</v>
      </c>
      <c r="B12" s="7" t="s">
        <v>41</v>
      </c>
      <c r="C12" s="8" t="n">
        <v>45668</v>
      </c>
      <c r="D12" s="8" t="n">
        <v>45697</v>
      </c>
      <c r="E12" s="9" t="str">
        <f aca="false">IF($B12="","",IFERROR(INDEX(書籍!$B$2:$B$2000,MATCH($B12,書籍!$A$2:$A$2000,0)),"（沒建檔）"))</f>
        <v>轉角夏天</v>
      </c>
      <c r="F12" s="9" t="str">
        <f aca="false">IF($A12="","",IFERROR(INDEX(會員!$B$2:$B$2000,MATCH($A12,會員!$A$2:$A$2000,0)),"（沒建檔）"))</f>
        <v>賴佩珊</v>
      </c>
      <c r="G12" s="10" t="str">
        <f aca="false">IF($B12="","",IF($D12="","未還","已還"))</f>
        <v>已還</v>
      </c>
    </row>
    <row r="13" customFormat="false" ht="15" hidden="false" customHeight="false" outlineLevel="0" collapsed="false">
      <c r="A13" s="7" t="s">
        <v>42</v>
      </c>
      <c r="B13" s="7" t="s">
        <v>43</v>
      </c>
      <c r="C13" s="8" t="n">
        <v>45668</v>
      </c>
      <c r="D13" s="8" t="n">
        <v>45686</v>
      </c>
      <c r="E13" s="9" t="str">
        <f aca="false">IF($B13="","",IFERROR(INDEX(書籍!$B$2:$B$2000,MATCH($B13,書籍!$A$2:$A$2000,0)),"（沒建檔）"))</f>
        <v>看不見的廚房</v>
      </c>
      <c r="F13" s="9" t="str">
        <f aca="false">IF($A13="","",IFERROR(INDEX(會員!$B$2:$B$2000,MATCH($A13,會員!$A$2:$A$2000,0)),"（沒建檔）"))</f>
        <v>蔡宜庭</v>
      </c>
      <c r="G13" s="10" t="str">
        <f aca="false">IF($B13="","",IF($D13="","未還","已還"))</f>
        <v>已還</v>
      </c>
    </row>
    <row r="14" customFormat="false" ht="15" hidden="false" customHeight="false" outlineLevel="0" collapsed="false">
      <c r="A14" s="7" t="s">
        <v>44</v>
      </c>
      <c r="B14" s="7" t="s">
        <v>45</v>
      </c>
      <c r="C14" s="8" t="n">
        <v>45668</v>
      </c>
      <c r="D14" s="8" t="n">
        <v>45689</v>
      </c>
      <c r="E14" s="9" t="str">
        <f aca="false">IF($B14="","",IFERROR(INDEX(書籍!$B$2:$B$2000,MATCH($B14,書籍!$A$2:$A$2000,0)),"（沒建檔）"))</f>
        <v>深夜的島</v>
      </c>
      <c r="F14" s="9" t="str">
        <f aca="false">IF($A14="","",IFERROR(INDEX(會員!$B$2:$B$2000,MATCH($A14,會員!$A$2:$A$2000,0)),"（沒建檔）"))</f>
        <v>郭柏翰</v>
      </c>
      <c r="G14" s="10" t="str">
        <f aca="false">IF($B14="","",IF($D14="","未還","已還"))</f>
        <v>已還</v>
      </c>
    </row>
    <row r="15" customFormat="false" ht="15" hidden="false" customHeight="false" outlineLevel="0" collapsed="false">
      <c r="A15" s="7" t="s">
        <v>46</v>
      </c>
      <c r="B15" s="7" t="s">
        <v>47</v>
      </c>
      <c r="C15" s="8" t="n">
        <v>45669</v>
      </c>
      <c r="D15" s="8" t="n">
        <v>45674</v>
      </c>
      <c r="E15" s="9" t="str">
        <f aca="false">IF($B15="","",IFERROR(INDEX(書籍!$B$2:$B$2000,MATCH($B15,書籍!$A$2:$A$2000,0)),"（沒建檔）"))</f>
        <v>最後一個花園</v>
      </c>
      <c r="F15" s="9" t="str">
        <f aca="false">IF($A15="","",IFERROR(INDEX(會員!$B$2:$B$2000,MATCH($A15,會員!$A$2:$A$2000,0)),"（沒建檔）"))</f>
        <v>郭思妤</v>
      </c>
      <c r="G15" s="10" t="str">
        <f aca="false">IF($B15="","",IF($D15="","未還","已還"))</f>
        <v>已還</v>
      </c>
    </row>
    <row r="16" customFormat="false" ht="15" hidden="false" customHeight="false" outlineLevel="0" collapsed="false">
      <c r="A16" s="7" t="s">
        <v>37</v>
      </c>
      <c r="B16" s="7" t="s">
        <v>48</v>
      </c>
      <c r="C16" s="8" t="n">
        <v>45671</v>
      </c>
      <c r="D16" s="8" t="n">
        <v>45693</v>
      </c>
      <c r="E16" s="9" t="str">
        <f aca="false">IF($B16="","",IFERROR(INDEX(書籍!$B$2:$B$2000,MATCH($B16,書籍!$A$2:$A$2000,0)),"（沒建檔）"))</f>
        <v>月球燈塔</v>
      </c>
      <c r="F16" s="9" t="str">
        <f aca="false">IF($A16="","",IFERROR(INDEX(會員!$B$2:$B$2000,MATCH($A16,會員!$A$2:$A$2000,0)),"（沒建檔）"))</f>
        <v>郭芷萱</v>
      </c>
      <c r="G16" s="10" t="str">
        <f aca="false">IF($B16="","",IF($D16="","未還","已還"))</f>
        <v>已還</v>
      </c>
    </row>
    <row r="17" customFormat="false" ht="15" hidden="false" customHeight="false" outlineLevel="0" collapsed="false">
      <c r="A17" s="7" t="s">
        <v>49</v>
      </c>
      <c r="B17" s="7" t="s">
        <v>50</v>
      </c>
      <c r="C17" s="8" t="n">
        <v>45671</v>
      </c>
      <c r="D17" s="8" t="n">
        <v>45689</v>
      </c>
      <c r="E17" s="9" t="str">
        <f aca="false">IF($B17="","",IFERROR(INDEX(書籍!$B$2:$B$2000,MATCH($B17,書籍!$A$2:$A$2000,0)),"（沒建檔）"))</f>
        <v>月球地圖</v>
      </c>
      <c r="F17" s="9" t="str">
        <f aca="false">IF($A17="","",IFERROR(INDEX(會員!$B$2:$B$2000,MATCH($A17,會員!$A$2:$A$2000,0)),"（沒建檔）"))</f>
        <v>張宜庭</v>
      </c>
      <c r="G17" s="10" t="str">
        <f aca="false">IF($B17="","",IF($D17="","未還","已還"))</f>
        <v>已還</v>
      </c>
    </row>
    <row r="18" customFormat="false" ht="15" hidden="false" customHeight="false" outlineLevel="0" collapsed="false">
      <c r="A18" s="7" t="s">
        <v>51</v>
      </c>
      <c r="B18" s="7" t="s">
        <v>52</v>
      </c>
      <c r="C18" s="8" t="n">
        <v>45675</v>
      </c>
      <c r="D18" s="8" t="n">
        <v>45694</v>
      </c>
      <c r="E18" s="9" t="str">
        <f aca="false">IF($B18="","",IFERROR(INDEX(書籍!$B$2:$B$2000,MATCH($B18,書籍!$A$2:$A$2000,0)),"（沒建檔）"))</f>
        <v>十二個河</v>
      </c>
      <c r="F18" s="9" t="str">
        <f aca="false">IF($A18="","",IFERROR(INDEX(會員!$B$2:$B$2000,MATCH($A18,會員!$A$2:$A$2000,0)),"（沒建檔）"))</f>
        <v>林子涵</v>
      </c>
      <c r="G18" s="10" t="str">
        <f aca="false">IF($B18="","",IF($D18="","未還","已還"))</f>
        <v>已還</v>
      </c>
    </row>
    <row r="19" customFormat="false" ht="15" hidden="false" customHeight="false" outlineLevel="0" collapsed="false">
      <c r="A19" s="7" t="s">
        <v>49</v>
      </c>
      <c r="B19" s="7" t="s">
        <v>53</v>
      </c>
      <c r="C19" s="8" t="n">
        <v>45675</v>
      </c>
      <c r="D19" s="8" t="n">
        <v>45703</v>
      </c>
      <c r="E19" s="9" t="str">
        <f aca="false">IF($B19="","",IFERROR(INDEX(書籍!$B$2:$B$2000,MATCH($B19,書籍!$A$2:$A$2000,0)),"（沒建檔）"))</f>
        <v>看不見的鐘樓</v>
      </c>
      <c r="F19" s="9" t="str">
        <f aca="false">IF($A19="","",IFERROR(INDEX(會員!$B$2:$B$2000,MATCH($A19,會員!$A$2:$A$2000,0)),"（沒建檔）"))</f>
        <v>張宜庭</v>
      </c>
      <c r="G19" s="10" t="str">
        <f aca="false">IF($B19="","",IF($D19="","未還","已還"))</f>
        <v>已還</v>
      </c>
    </row>
    <row r="20" customFormat="false" ht="15" hidden="false" customHeight="false" outlineLevel="0" collapsed="false">
      <c r="A20" s="7" t="s">
        <v>54</v>
      </c>
      <c r="B20" s="7" t="s">
        <v>55</v>
      </c>
      <c r="C20" s="8" t="n">
        <v>45675</v>
      </c>
      <c r="D20" s="8" t="n">
        <v>45690</v>
      </c>
      <c r="E20" s="9" t="str">
        <f aca="false">IF($B20="","",IFERROR(INDEX(書籍!$B$2:$B$2000,MATCH($B20,書籍!$A$2:$A$2000,0)),"（沒建檔）"))</f>
        <v>漫長的鐘樓</v>
      </c>
      <c r="F20" s="9" t="str">
        <f aca="false">IF($A20="","",IFERROR(INDEX(會員!$B$2:$B$2000,MATCH($A20,會員!$A$2:$A$2000,0)),"（沒建檔）"))</f>
        <v>洪季軒</v>
      </c>
      <c r="G20" s="10" t="str">
        <f aca="false">IF($B20="","",IF($D20="","未還","已還"))</f>
        <v>已還</v>
      </c>
    </row>
    <row r="21" customFormat="false" ht="15" hidden="false" customHeight="false" outlineLevel="0" collapsed="false">
      <c r="A21" s="7" t="s">
        <v>56</v>
      </c>
      <c r="B21" s="7" t="s">
        <v>57</v>
      </c>
      <c r="C21" s="8" t="n">
        <v>45676</v>
      </c>
      <c r="D21" s="8" t="n">
        <v>45697</v>
      </c>
      <c r="E21" s="9" t="str">
        <f aca="false">IF($B21="","",IFERROR(INDEX(書籍!$B$2:$B$2000,MATCH($B21,書籍!$A$2:$A$2000,0)),"（沒建檔）"))</f>
        <v>沉默的森林</v>
      </c>
      <c r="F21" s="9" t="str">
        <f aca="false">IF($A21="","",IFERROR(INDEX(會員!$B$2:$B$2000,MATCH($A21,會員!$A$2:$A$2000,0)),"（沒建檔）"))</f>
        <v>李季軒</v>
      </c>
      <c r="G21" s="10" t="str">
        <f aca="false">IF($B21="","",IF($D21="","未還","已還"))</f>
        <v>已還</v>
      </c>
    </row>
    <row r="22" customFormat="false" ht="15" hidden="false" customHeight="false" outlineLevel="0" collapsed="false">
      <c r="A22" s="7" t="s">
        <v>58</v>
      </c>
      <c r="B22" s="7" t="s">
        <v>59</v>
      </c>
      <c r="C22" s="8" t="n">
        <v>45677</v>
      </c>
      <c r="D22" s="8" t="n">
        <v>45692</v>
      </c>
      <c r="E22" s="9" t="str">
        <f aca="false">IF($B22="","",IFERROR(INDEX(書籍!$B$2:$B$2000,MATCH($B22,書籍!$A$2:$A$2000,0)),"（沒建檔）"))</f>
        <v>月球回信</v>
      </c>
      <c r="F22" s="9" t="str">
        <f aca="false">IF($A22="","",IFERROR(INDEX(會員!$B$2:$B$2000,MATCH($A22,會員!$A$2:$A$2000,0)),"（沒建檔）"))</f>
        <v>賴思妤</v>
      </c>
      <c r="G22" s="10" t="str">
        <f aca="false">IF($B22="","",IF($D22="","未還","已還"))</f>
        <v>已還</v>
      </c>
    </row>
    <row r="23" customFormat="false" ht="15" hidden="false" customHeight="false" outlineLevel="0" collapsed="false">
      <c r="A23" s="7" t="s">
        <v>60</v>
      </c>
      <c r="B23" s="7" t="s">
        <v>61</v>
      </c>
      <c r="C23" s="8" t="n">
        <v>45677</v>
      </c>
      <c r="D23" s="8" t="n">
        <v>45701</v>
      </c>
      <c r="E23" s="9" t="str">
        <f aca="false">IF($B23="","",IFERROR(INDEX(書籍!$B$2:$B$2000,MATCH($B23,書籍!$A$2:$A$2000,0)),"（沒建檔）"))</f>
        <v>沉默的廚房</v>
      </c>
      <c r="F23" s="9" t="str">
        <f aca="false">IF($A23="","",IFERROR(INDEX(會員!$B$2:$B$2000,MATCH($A23,會員!$A$2:$A$2000,0)),"（沒建檔）"))</f>
        <v>李怡君</v>
      </c>
      <c r="G23" s="10" t="str">
        <f aca="false">IF($B23="","",IF($D23="","未還","已還"))</f>
        <v>已還</v>
      </c>
    </row>
    <row r="24" customFormat="false" ht="15" hidden="false" customHeight="false" outlineLevel="0" collapsed="false">
      <c r="A24" s="7" t="s">
        <v>42</v>
      </c>
      <c r="B24" s="7" t="s">
        <v>62</v>
      </c>
      <c r="C24" s="8" t="n">
        <v>45678</v>
      </c>
      <c r="D24" s="8" t="n">
        <v>45679</v>
      </c>
      <c r="E24" s="9" t="str">
        <f aca="false">IF($B24="","",IFERROR(INDEX(書籍!$B$2:$B$2000,MATCH($B24,書籍!$A$2:$A$2000,0)),"（沒建檔）"))</f>
        <v>海邊的貓</v>
      </c>
      <c r="F24" s="9" t="str">
        <f aca="false">IF($A24="","",IFERROR(INDEX(會員!$B$2:$B$2000,MATCH($A24,會員!$A$2:$A$2000,0)),"（沒建檔）"))</f>
        <v>蔡宜庭</v>
      </c>
      <c r="G24" s="10" t="str">
        <f aca="false">IF($B24="","",IF($D24="","未還","已還"))</f>
        <v>已還</v>
      </c>
    </row>
    <row r="25" customFormat="false" ht="15" hidden="false" customHeight="false" outlineLevel="0" collapsed="false">
      <c r="A25" s="7" t="s">
        <v>63</v>
      </c>
      <c r="B25" s="7" t="s">
        <v>64</v>
      </c>
      <c r="C25" s="8" t="n">
        <v>45678</v>
      </c>
      <c r="D25" s="8" t="n">
        <v>45698</v>
      </c>
      <c r="E25" s="9" t="str">
        <f aca="false">IF($B25="","",IFERROR(INDEX(書籍!$B$2:$B$2000,MATCH($B25,書籍!$A$2:$A$2000,0)),"（沒建檔）"))</f>
        <v>雨中書店</v>
      </c>
      <c r="F25" s="9" t="str">
        <f aca="false">IF($A25="","",IFERROR(INDEX(會員!$B$2:$B$2000,MATCH($A25,會員!$A$2:$A$2000,0)),"（沒建檔）"))</f>
        <v>陳祐誠</v>
      </c>
      <c r="G25" s="10" t="str">
        <f aca="false">IF($B25="","",IF($D25="","未還","已還"))</f>
        <v>已還</v>
      </c>
    </row>
    <row r="26" customFormat="false" ht="15" hidden="false" customHeight="false" outlineLevel="0" collapsed="false">
      <c r="A26" s="7" t="s">
        <v>46</v>
      </c>
      <c r="B26" s="7" t="s">
        <v>65</v>
      </c>
      <c r="C26" s="8" t="n">
        <v>45679</v>
      </c>
      <c r="D26" s="8" t="n">
        <v>45700</v>
      </c>
      <c r="E26" s="9" t="str">
        <f aca="false">IF($B26="","",IFERROR(INDEX(書籍!$B$2:$B$2000,MATCH($B26,書籍!$A$2:$A$2000,0)),"（沒建檔）"))</f>
        <v>深夜的季節</v>
      </c>
      <c r="F26" s="9" t="str">
        <f aca="false">IF($A26="","",IFERROR(INDEX(會員!$B$2:$B$2000,MATCH($A26,會員!$A$2:$A$2000,0)),"（沒建檔）"))</f>
        <v>郭思妤</v>
      </c>
      <c r="G26" s="10" t="str">
        <f aca="false">IF($B26="","",IF($D26="","未還","已還"))</f>
        <v>已還</v>
      </c>
    </row>
    <row r="27" customFormat="false" ht="15" hidden="false" customHeight="false" outlineLevel="0" collapsed="false">
      <c r="A27" s="7" t="s">
        <v>66</v>
      </c>
      <c r="B27" s="7" t="s">
        <v>67</v>
      </c>
      <c r="C27" s="8" t="n">
        <v>45679</v>
      </c>
      <c r="D27" s="8" t="n">
        <v>45689</v>
      </c>
      <c r="E27" s="9" t="str">
        <f aca="false">IF($B27="","",IFERROR(INDEX(書籍!$B$2:$B$2000,MATCH($B27,書籍!$A$2:$A$2000,0)),"（沒建檔）"))</f>
        <v>最後一個祕密</v>
      </c>
      <c r="F27" s="9" t="str">
        <f aca="false">IF($A27="","",IFERROR(INDEX(會員!$B$2:$B$2000,MATCH($A27,會員!$A$2:$A$2000,0)),"（沒建檔）"))</f>
        <v>郭柏翰</v>
      </c>
      <c r="G27" s="10" t="str">
        <f aca="false">IF($B27="","",IF($D27="","未還","已還"))</f>
        <v>已還</v>
      </c>
    </row>
    <row r="28" customFormat="false" ht="15" hidden="false" customHeight="false" outlineLevel="0" collapsed="false">
      <c r="A28" s="7" t="s">
        <v>68</v>
      </c>
      <c r="B28" s="7" t="s">
        <v>69</v>
      </c>
      <c r="C28" s="8" t="n">
        <v>45681</v>
      </c>
      <c r="D28" s="8" t="n">
        <v>45694</v>
      </c>
      <c r="E28" s="9" t="str">
        <f aca="false">IF($B28="","",IFERROR(INDEX(書籍!$B$2:$B$2000,MATCH($B28,書籍!$A$2:$A$2000,0)),"（沒建檔）"))</f>
        <v>藍色祕密</v>
      </c>
      <c r="F28" s="9" t="str">
        <f aca="false">IF($A28="","",IFERROR(INDEX(會員!$B$2:$B$2000,MATCH($A28,會員!$A$2:$A$2000,0)),"（沒建檔）"))</f>
        <v>賴建宏</v>
      </c>
      <c r="G28" s="10" t="str">
        <f aca="false">IF($B28="","",IF($D28="","未還","已還"))</f>
        <v>已還</v>
      </c>
    </row>
    <row r="29" customFormat="false" ht="15" hidden="false" customHeight="false" outlineLevel="0" collapsed="false">
      <c r="A29" s="7" t="s">
        <v>34</v>
      </c>
      <c r="B29" s="7" t="s">
        <v>70</v>
      </c>
      <c r="C29" s="8" t="n">
        <v>45682</v>
      </c>
      <c r="D29" s="8" t="n">
        <v>45683</v>
      </c>
      <c r="E29" s="9" t="str">
        <f aca="false">IF($B29="","",IFERROR(INDEX(書籍!$B$2:$B$2000,MATCH($B29,書籍!$A$2:$A$2000,0)),"（沒建檔）"))</f>
        <v>深夜的約定</v>
      </c>
      <c r="F29" s="9" t="str">
        <f aca="false">IF($A29="","",IFERROR(INDEX(會員!$B$2:$B$2000,MATCH($A29,會員!$A$2:$A$2000,0)),"（沒建檔）"))</f>
        <v>蔡彥廷</v>
      </c>
      <c r="G29" s="10" t="str">
        <f aca="false">IF($B29="","",IF($D29="","未還","已還"))</f>
        <v>已還</v>
      </c>
    </row>
    <row r="30" customFormat="false" ht="15" hidden="false" customHeight="false" outlineLevel="0" collapsed="false">
      <c r="A30" s="7" t="s">
        <v>63</v>
      </c>
      <c r="B30" s="7" t="s">
        <v>71</v>
      </c>
      <c r="C30" s="8" t="n">
        <v>45685</v>
      </c>
      <c r="D30" s="8" t="n">
        <v>45688</v>
      </c>
      <c r="E30" s="9" t="str">
        <f aca="false">IF($B30="","",IFERROR(INDEX(書籍!$B$2:$B$2000,MATCH($B30,書籍!$A$2:$A$2000,0)),"（沒建檔）"))</f>
        <v>深夜的手記</v>
      </c>
      <c r="F30" s="9" t="str">
        <f aca="false">IF($A30="","",IFERROR(INDEX(會員!$B$2:$B$2000,MATCH($A30,會員!$A$2:$A$2000,0)),"（沒建檔）"))</f>
        <v>陳祐誠</v>
      </c>
      <c r="G30" s="10" t="str">
        <f aca="false">IF($B30="","",IF($D30="","未還","已還"))</f>
        <v>已還</v>
      </c>
    </row>
    <row r="31" customFormat="false" ht="15" hidden="false" customHeight="false" outlineLevel="0" collapsed="false">
      <c r="A31" s="7" t="s">
        <v>72</v>
      </c>
      <c r="B31" s="7" t="s">
        <v>73</v>
      </c>
      <c r="C31" s="8" t="n">
        <v>45685</v>
      </c>
      <c r="D31" s="8" t="n">
        <v>45713</v>
      </c>
      <c r="E31" s="9" t="str">
        <f aca="false">IF($B31="","",IFERROR(INDEX(書籍!$B$2:$B$2000,MATCH($B31,書籍!$A$2:$A$2000,0)),"（沒建檔）"))</f>
        <v>海邊的森林</v>
      </c>
      <c r="F31" s="9" t="str">
        <f aca="false">IF($A31="","",IFERROR(INDEX(會員!$B$2:$B$2000,MATCH($A31,會員!$A$2:$A$2000,0)),"（沒建檔）"))</f>
        <v>蔡季軒</v>
      </c>
      <c r="G31" s="10" t="str">
        <f aca="false">IF($B31="","",IF($D31="","未還","已還"))</f>
        <v>已還</v>
      </c>
    </row>
    <row r="32" customFormat="false" ht="15" hidden="false" customHeight="false" outlineLevel="0" collapsed="false">
      <c r="A32" s="7" t="s">
        <v>40</v>
      </c>
      <c r="B32" s="7" t="s">
        <v>39</v>
      </c>
      <c r="C32" s="8" t="n">
        <v>45686</v>
      </c>
      <c r="D32" s="8" t="n">
        <v>45706</v>
      </c>
      <c r="E32" s="9" t="str">
        <f aca="false">IF($B32="","",IFERROR(INDEX(書籍!$B$2:$B$2000,MATCH($B32,書籍!$A$2:$A$2000,0)),"（沒建檔）"))</f>
        <v>看不見的花園</v>
      </c>
      <c r="F32" s="9" t="str">
        <f aca="false">IF($A32="","",IFERROR(INDEX(會員!$B$2:$B$2000,MATCH($A32,會員!$A$2:$A$2000,0)),"（沒建檔）"))</f>
        <v>賴佩珊</v>
      </c>
      <c r="G32" s="10" t="str">
        <f aca="false">IF($B32="","",IF($D32="","未還","已還"))</f>
        <v>已還</v>
      </c>
    </row>
    <row r="33" customFormat="false" ht="15" hidden="false" customHeight="false" outlineLevel="0" collapsed="false">
      <c r="A33" s="7" t="s">
        <v>37</v>
      </c>
      <c r="B33" s="7" t="s">
        <v>62</v>
      </c>
      <c r="C33" s="8" t="n">
        <v>45690</v>
      </c>
      <c r="D33" s="8" t="n">
        <v>45705</v>
      </c>
      <c r="E33" s="9" t="str">
        <f aca="false">IF($B33="","",IFERROR(INDEX(書籍!$B$2:$B$2000,MATCH($B33,書籍!$A$2:$A$2000,0)),"（沒建檔）"))</f>
        <v>海邊的貓</v>
      </c>
      <c r="F33" s="9" t="str">
        <f aca="false">IF($A33="","",IFERROR(INDEX(會員!$B$2:$B$2000,MATCH($A33,會員!$A$2:$A$2000,0)),"（沒建檔）"))</f>
        <v>郭芷萱</v>
      </c>
      <c r="G33" s="10" t="str">
        <f aca="false">IF($B33="","",IF($D33="","未還","已還"))</f>
        <v>已還</v>
      </c>
    </row>
    <row r="34" customFormat="false" ht="15" hidden="false" customHeight="false" outlineLevel="0" collapsed="false">
      <c r="A34" s="7" t="s">
        <v>32</v>
      </c>
      <c r="B34" s="7" t="s">
        <v>74</v>
      </c>
      <c r="C34" s="8" t="n">
        <v>45691</v>
      </c>
      <c r="D34" s="8" t="n">
        <v>45718</v>
      </c>
      <c r="E34" s="9" t="str">
        <f aca="false">IF($B34="","",IFERROR(INDEX(書籍!$B$2:$B$2000,MATCH($B34,書籍!$A$2:$A$2000,0)),"（沒建檔）"))</f>
        <v>月球書店</v>
      </c>
      <c r="F34" s="9" t="str">
        <f aca="false">IF($A34="","",IFERROR(INDEX(會員!$B$2:$B$2000,MATCH($A34,會員!$A$2:$A$2000,0)),"（沒建檔）"))</f>
        <v>李子涵</v>
      </c>
      <c r="G34" s="10" t="str">
        <f aca="false">IF($B34="","",IF($D34="","未還","已還"))</f>
        <v>已還</v>
      </c>
    </row>
    <row r="35" customFormat="false" ht="15" hidden="false" customHeight="false" outlineLevel="0" collapsed="false">
      <c r="A35" s="7" t="s">
        <v>75</v>
      </c>
      <c r="B35" s="7" t="s">
        <v>76</v>
      </c>
      <c r="C35" s="8" t="n">
        <v>45692</v>
      </c>
      <c r="D35" s="8" t="n">
        <v>45699</v>
      </c>
      <c r="E35" s="9" t="str">
        <f aca="false">IF($B35="","",IFERROR(INDEX(書籍!$B$2:$B$2000,MATCH($B35,書籍!$A$2:$A$2000,0)),"（沒建檔）"))</f>
        <v>十二個鐘樓</v>
      </c>
      <c r="F35" s="9" t="str">
        <f aca="false">IF($A35="","",IFERROR(INDEX(會員!$B$2:$B$2000,MATCH($A35,會員!$A$2:$A$2000,0)),"（沒建檔）"))</f>
        <v>黃芷萱</v>
      </c>
      <c r="G35" s="10" t="str">
        <f aca="false">IF($B35="","",IF($D35="","未還","已還"))</f>
        <v>已還</v>
      </c>
    </row>
    <row r="36" customFormat="false" ht="15" hidden="false" customHeight="false" outlineLevel="0" collapsed="false">
      <c r="A36" s="7" t="s">
        <v>77</v>
      </c>
      <c r="B36" s="7" t="s">
        <v>78</v>
      </c>
      <c r="C36" s="8" t="n">
        <v>45692</v>
      </c>
      <c r="D36" s="8" t="n">
        <v>45698</v>
      </c>
      <c r="E36" s="9" t="str">
        <f aca="false">IF($B36="","",IFERROR(INDEX(書籍!$B$2:$B$2000,MATCH($B36,書籍!$A$2:$A$2000,0)),"（沒建檔）"))</f>
        <v>冬季約定</v>
      </c>
      <c r="F36" s="9" t="str">
        <f aca="false">IF($A36="","",IFERROR(INDEX(會員!$B$2:$B$2000,MATCH($A36,會員!$A$2:$A$2000,0)),"（沒建檔）"))</f>
        <v>吳柏翰</v>
      </c>
      <c r="G36" s="10" t="str">
        <f aca="false">IF($B36="","",IF($D36="","未還","已還"))</f>
        <v>已還</v>
      </c>
    </row>
    <row r="37" customFormat="false" ht="15" hidden="false" customHeight="false" outlineLevel="0" collapsed="false">
      <c r="A37" s="7" t="s">
        <v>30</v>
      </c>
      <c r="B37" s="7" t="s">
        <v>79</v>
      </c>
      <c r="C37" s="8" t="n">
        <v>45692</v>
      </c>
      <c r="D37" s="8" t="n">
        <v>45720</v>
      </c>
      <c r="E37" s="9" t="str">
        <f aca="false">IF($B37="","",IFERROR(INDEX(書籍!$B$2:$B$2000,MATCH($B37,書籍!$A$2:$A$2000,0)),"（沒建檔）"))</f>
        <v>紙上的書店</v>
      </c>
      <c r="F37" s="9" t="str">
        <f aca="false">IF($A37="","",IFERROR(INDEX(會員!$B$2:$B$2000,MATCH($A37,會員!$A$2:$A$2000,0)),"（沒建檔）"))</f>
        <v>吳芃穎</v>
      </c>
      <c r="G37" s="10" t="str">
        <f aca="false">IF($B37="","",IF($D37="","未還","已還"))</f>
        <v>已還</v>
      </c>
    </row>
    <row r="38" customFormat="false" ht="15" hidden="false" customHeight="false" outlineLevel="0" collapsed="false">
      <c r="A38" s="7" t="s">
        <v>80</v>
      </c>
      <c r="B38" s="7" t="s">
        <v>81</v>
      </c>
      <c r="C38" s="8" t="n">
        <v>45693</v>
      </c>
      <c r="D38" s="8" t="n">
        <v>45712</v>
      </c>
      <c r="E38" s="9" t="str">
        <f aca="false">IF($B38="","",IFERROR(INDEX(書籍!$B$2:$B$2000,MATCH($B38,書籍!$A$2:$A$2000,0)),"（沒建檔）"))</f>
        <v>紙上的祕密</v>
      </c>
      <c r="F38" s="9" t="str">
        <f aca="false">IF($A38="","",IFERROR(INDEX(會員!$B$2:$B$2000,MATCH($A38,會員!$A$2:$A$2000,0)),"（沒建檔）"))</f>
        <v>洪詠晴</v>
      </c>
      <c r="G38" s="10" t="str">
        <f aca="false">IF($B38="","",IF($D38="","未還","已還"))</f>
        <v>已還</v>
      </c>
    </row>
    <row r="39" customFormat="false" ht="15" hidden="false" customHeight="false" outlineLevel="0" collapsed="false">
      <c r="A39" s="7" t="s">
        <v>63</v>
      </c>
      <c r="B39" s="7" t="s">
        <v>82</v>
      </c>
      <c r="C39" s="8" t="n">
        <v>45693</v>
      </c>
      <c r="D39" s="8" t="n">
        <v>45701</v>
      </c>
      <c r="E39" s="9" t="str">
        <f aca="false">IF($B39="","",IFERROR(INDEX(書籍!$B$2:$B$2000,MATCH($B39,書籍!$A$2:$A$2000,0)),"（沒建檔）"))</f>
        <v>藍色手記</v>
      </c>
      <c r="F39" s="9" t="str">
        <f aca="false">IF($A39="","",IFERROR(INDEX(會員!$B$2:$B$2000,MATCH($A39,會員!$A$2:$A$2000,0)),"（沒建檔）"))</f>
        <v>陳祐誠</v>
      </c>
      <c r="G39" s="10" t="str">
        <f aca="false">IF($B39="","",IF($D39="","未還","已還"))</f>
        <v>已還</v>
      </c>
    </row>
    <row r="40" customFormat="false" ht="15" hidden="false" customHeight="false" outlineLevel="0" collapsed="false">
      <c r="A40" s="7" t="s">
        <v>56</v>
      </c>
      <c r="B40" s="7" t="s">
        <v>83</v>
      </c>
      <c r="C40" s="8" t="n">
        <v>45694</v>
      </c>
      <c r="D40" s="8" t="n">
        <v>45704</v>
      </c>
      <c r="E40" s="9" t="str">
        <f aca="false">IF($B40="","",IFERROR(INDEX(書籍!$B$2:$B$2000,MATCH($B40,書籍!$A$2:$A$2000,0)),"（沒建檔）"))</f>
        <v>北方信</v>
      </c>
      <c r="F40" s="9" t="str">
        <f aca="false">IF($A40="","",IFERROR(INDEX(會員!$B$2:$B$2000,MATCH($A40,會員!$A$2:$A$2000,0)),"（沒建檔）"))</f>
        <v>李季軒</v>
      </c>
      <c r="G40" s="10" t="str">
        <f aca="false">IF($B40="","",IF($D40="","未還","已還"))</f>
        <v>已還</v>
      </c>
    </row>
    <row r="41" customFormat="false" ht="15" hidden="false" customHeight="false" outlineLevel="0" collapsed="false">
      <c r="A41" s="7" t="s">
        <v>34</v>
      </c>
      <c r="B41" s="7" t="s">
        <v>84</v>
      </c>
      <c r="C41" s="8" t="n">
        <v>45694</v>
      </c>
      <c r="D41" s="8" t="n">
        <v>45721</v>
      </c>
      <c r="E41" s="9" t="str">
        <f aca="false">IF($B41="","",IFERROR(INDEX(書籍!$B$2:$B$2000,MATCH($B41,書籍!$A$2:$A$2000,0)),"（沒建檔）"))</f>
        <v>微小的郵差</v>
      </c>
      <c r="F41" s="9" t="str">
        <f aca="false">IF($A41="","",IFERROR(INDEX(會員!$B$2:$B$2000,MATCH($A41,會員!$A$2:$A$2000,0)),"（沒建檔）"))</f>
        <v>蔡彥廷</v>
      </c>
      <c r="G41" s="10" t="str">
        <f aca="false">IF($B41="","",IF($D41="","未還","已還"))</f>
        <v>已還</v>
      </c>
    </row>
    <row r="42" customFormat="false" ht="15" hidden="false" customHeight="false" outlineLevel="0" collapsed="false">
      <c r="A42" s="7" t="s">
        <v>77</v>
      </c>
      <c r="B42" s="7" t="s">
        <v>85</v>
      </c>
      <c r="C42" s="8" t="n">
        <v>45694</v>
      </c>
      <c r="D42" s="8" t="n">
        <v>45698</v>
      </c>
      <c r="E42" s="9" t="str">
        <f aca="false">IF($B42="","",IFERROR(INDEX(書籍!$B$2:$B$2000,MATCH($B42,書籍!$A$2:$A$2000,0)),"（沒建檔）"))</f>
        <v>深夜的鋼琴師</v>
      </c>
      <c r="F42" s="9" t="str">
        <f aca="false">IF($A42="","",IFERROR(INDEX(會員!$B$2:$B$2000,MATCH($A42,會員!$A$2:$A$2000,0)),"（沒建檔）"))</f>
        <v>吳柏翰</v>
      </c>
      <c r="G42" s="10" t="str">
        <f aca="false">IF($B42="","",IF($D42="","未還","已還"))</f>
        <v>已還</v>
      </c>
    </row>
    <row r="43" customFormat="false" ht="15" hidden="false" customHeight="false" outlineLevel="0" collapsed="false">
      <c r="A43" s="7" t="s">
        <v>51</v>
      </c>
      <c r="B43" s="7" t="s">
        <v>86</v>
      </c>
      <c r="C43" s="8" t="n">
        <v>45694</v>
      </c>
      <c r="D43" s="8" t="n">
        <v>45710</v>
      </c>
      <c r="E43" s="9" t="str">
        <f aca="false">IF($B43="","",IFERROR(INDEX(書籍!$B$2:$B$2000,MATCH($B43,書籍!$A$2:$A$2000,0)),"（沒建檔）"))</f>
        <v>遺失的地圖</v>
      </c>
      <c r="F43" s="9" t="str">
        <f aca="false">IF($A43="","",IFERROR(INDEX(會員!$B$2:$B$2000,MATCH($A43,會員!$A$2:$A$2000,0)),"（沒建檔）"))</f>
        <v>林子涵</v>
      </c>
      <c r="G43" s="10" t="str">
        <f aca="false">IF($B43="","",IF($D43="","未還","已還"))</f>
        <v>已還</v>
      </c>
    </row>
    <row r="44" customFormat="false" ht="15" hidden="false" customHeight="false" outlineLevel="0" collapsed="false">
      <c r="A44" s="7" t="s">
        <v>32</v>
      </c>
      <c r="B44" s="7" t="s">
        <v>33</v>
      </c>
      <c r="C44" s="8" t="n">
        <v>45694</v>
      </c>
      <c r="D44" s="8" t="n">
        <v>45724</v>
      </c>
      <c r="E44" s="9" t="str">
        <f aca="false">IF($B44="","",IFERROR(INDEX(書籍!$B$2:$B$2000,MATCH($B44,書籍!$A$2:$A$2000,0)),"（沒建檔）"))</f>
        <v>海邊的旅人</v>
      </c>
      <c r="F44" s="9" t="str">
        <f aca="false">IF($A44="","",IFERROR(INDEX(會員!$B$2:$B$2000,MATCH($A44,會員!$A$2:$A$2000,0)),"（沒建檔）"))</f>
        <v>李子涵</v>
      </c>
      <c r="G44" s="10" t="str">
        <f aca="false">IF($B44="","",IF($D44="","未還","已還"))</f>
        <v>已還</v>
      </c>
    </row>
    <row r="45" customFormat="false" ht="15" hidden="false" customHeight="false" outlineLevel="0" collapsed="false">
      <c r="A45" s="7" t="s">
        <v>87</v>
      </c>
      <c r="B45" s="7" t="s">
        <v>36</v>
      </c>
      <c r="C45" s="8" t="n">
        <v>45695</v>
      </c>
      <c r="D45" s="8" t="n">
        <v>45709</v>
      </c>
      <c r="E45" s="9" t="str">
        <f aca="false">IF($B45="","",IFERROR(INDEX(書籍!$B$2:$B$2000,MATCH($B45,書籍!$A$2:$A$2000,0)),"（沒建檔）"))</f>
        <v>紙上的鋼琴師</v>
      </c>
      <c r="F45" s="9" t="str">
        <f aca="false">IF($A45="","",IFERROR(INDEX(會員!$B$2:$B$2000,MATCH($A45,會員!$A$2:$A$2000,0)),"（沒建檔）"))</f>
        <v>楊芷萱</v>
      </c>
      <c r="G45" s="10" t="str">
        <f aca="false">IF($B45="","",IF($D45="","未還","已還"))</f>
        <v>已還</v>
      </c>
    </row>
    <row r="46" customFormat="false" ht="15" hidden="false" customHeight="false" outlineLevel="0" collapsed="false">
      <c r="A46" s="7" t="s">
        <v>37</v>
      </c>
      <c r="B46" s="7" t="s">
        <v>88</v>
      </c>
      <c r="C46" s="8" t="n">
        <v>45697</v>
      </c>
      <c r="D46" s="8" t="n">
        <v>45716</v>
      </c>
      <c r="E46" s="9" t="str">
        <f aca="false">IF($B46="","",IFERROR(INDEX(書籍!$B$2:$B$2000,MATCH($B46,書籍!$A$2:$A$2000,0)),"（沒建檔）"))</f>
        <v>地下室鋼琴師</v>
      </c>
      <c r="F46" s="9" t="str">
        <f aca="false">IF($A46="","",IFERROR(INDEX(會員!$B$2:$B$2000,MATCH($A46,會員!$A$2:$A$2000,0)),"（沒建檔）"))</f>
        <v>郭芷萱</v>
      </c>
      <c r="G46" s="10" t="str">
        <f aca="false">IF($B46="","",IF($D46="","未還","已還"))</f>
        <v>已還</v>
      </c>
    </row>
    <row r="47" customFormat="false" ht="15" hidden="false" customHeight="false" outlineLevel="0" collapsed="false">
      <c r="A47" s="7" t="s">
        <v>60</v>
      </c>
      <c r="B47" s="7" t="s">
        <v>89</v>
      </c>
      <c r="C47" s="8" t="n">
        <v>45697</v>
      </c>
      <c r="D47" s="8" t="n">
        <v>45712</v>
      </c>
      <c r="E47" s="9" t="str">
        <f aca="false">IF($B47="","",IFERROR(INDEX(書籍!$B$2:$B$2000,MATCH($B47,書籍!$A$2:$A$2000,0)),"（沒建檔）"))</f>
        <v>漫長的季節</v>
      </c>
      <c r="F47" s="9" t="str">
        <f aca="false">IF($A47="","",IFERROR(INDEX(會員!$B$2:$B$2000,MATCH($A47,會員!$A$2:$A$2000,0)),"（沒建檔）"))</f>
        <v>李怡君</v>
      </c>
      <c r="G47" s="10" t="str">
        <f aca="false">IF($B47="","",IF($D47="","未還","已還"))</f>
        <v>已還</v>
      </c>
    </row>
    <row r="48" customFormat="false" ht="15" hidden="false" customHeight="false" outlineLevel="0" collapsed="false">
      <c r="A48" s="7" t="s">
        <v>56</v>
      </c>
      <c r="B48" s="7" t="s">
        <v>90</v>
      </c>
      <c r="C48" s="8" t="n">
        <v>45697</v>
      </c>
      <c r="D48" s="8" t="n">
        <v>45699</v>
      </c>
      <c r="E48" s="9" t="str">
        <f aca="false">IF($B48="","",IFERROR(INDEX(書籍!$B$2:$B$2000,MATCH($B48,書籍!$A$2:$A$2000,0)),"（沒建檔）"))</f>
        <v>漫長的書店</v>
      </c>
      <c r="F48" s="9" t="str">
        <f aca="false">IF($A48="","",IFERROR(INDEX(會員!$B$2:$B$2000,MATCH($A48,會員!$A$2:$A$2000,0)),"（沒建檔）"))</f>
        <v>李季軒</v>
      </c>
      <c r="G48" s="10" t="str">
        <f aca="false">IF($B48="","",IF($D48="","未還","已還"))</f>
        <v>已還</v>
      </c>
    </row>
    <row r="49" customFormat="false" ht="15" hidden="false" customHeight="false" outlineLevel="0" collapsed="false">
      <c r="A49" s="7" t="s">
        <v>63</v>
      </c>
      <c r="B49" s="7" t="s">
        <v>91</v>
      </c>
      <c r="C49" s="8" t="n">
        <v>45698</v>
      </c>
      <c r="D49" s="8" t="n">
        <v>45723</v>
      </c>
      <c r="E49" s="9" t="str">
        <f aca="false">IF($B49="","",IFERROR(INDEX(書籍!$B$2:$B$2000,MATCH($B49,書籍!$A$2:$A$2000,0)),"（沒建檔）"))</f>
        <v>最後一個偵探</v>
      </c>
      <c r="F49" s="9" t="str">
        <f aca="false">IF($A49="","",IFERROR(INDEX(會員!$B$2:$B$2000,MATCH($A49,會員!$A$2:$A$2000,0)),"（沒建檔）"))</f>
        <v>陳祐誠</v>
      </c>
      <c r="G49" s="10" t="str">
        <f aca="false">IF($B49="","",IF($D49="","未還","已還"))</f>
        <v>已還</v>
      </c>
    </row>
    <row r="50" customFormat="false" ht="15" hidden="false" customHeight="false" outlineLevel="0" collapsed="false">
      <c r="A50" s="7" t="s">
        <v>22</v>
      </c>
      <c r="B50" s="7" t="s">
        <v>92</v>
      </c>
      <c r="C50" s="8" t="n">
        <v>45700</v>
      </c>
      <c r="D50" s="8" t="n">
        <v>45705</v>
      </c>
      <c r="E50" s="9" t="str">
        <f aca="false">IF($B50="","",IFERROR(INDEX(書籍!$B$2:$B$2000,MATCH($B50,書籍!$A$2:$A$2000,0)),"（沒建檔）"))</f>
        <v>藍色花園</v>
      </c>
      <c r="F50" s="9" t="str">
        <f aca="false">IF($A50="","",IFERROR(INDEX(會員!$B$2:$B$2000,MATCH($A50,會員!$A$2:$A$2000,0)),"（沒建檔）"))</f>
        <v>王思妤</v>
      </c>
      <c r="G50" s="10" t="str">
        <f aca="false">IF($B50="","",IF($D50="","未還","已還"))</f>
        <v>已還</v>
      </c>
    </row>
    <row r="51" customFormat="false" ht="15" hidden="false" customHeight="false" outlineLevel="0" collapsed="false">
      <c r="A51" s="7" t="s">
        <v>93</v>
      </c>
      <c r="B51" s="7" t="s">
        <v>94</v>
      </c>
      <c r="C51" s="8" t="n">
        <v>45701</v>
      </c>
      <c r="D51" s="8" t="n">
        <v>45719</v>
      </c>
      <c r="E51" s="9" t="str">
        <f aca="false">IF($B51="","",IFERROR(INDEX(書籍!$B$2:$B$2000,MATCH($B51,書籍!$A$2:$A$2000,0)),"（沒建檔）"))</f>
        <v>藍色咖啡館</v>
      </c>
      <c r="F51" s="9" t="str">
        <f aca="false">IF($A51="","",IFERROR(INDEX(會員!$B$2:$B$2000,MATCH($A51,會員!$A$2:$A$2000,0)),"（沒建檔）"))</f>
        <v>邱沐恩</v>
      </c>
      <c r="G51" s="10" t="str">
        <f aca="false">IF($B51="","",IF($D51="","未還","已還"))</f>
        <v>已還</v>
      </c>
    </row>
    <row r="52" customFormat="false" ht="15" hidden="false" customHeight="false" outlineLevel="0" collapsed="false">
      <c r="A52" s="7" t="s">
        <v>95</v>
      </c>
      <c r="B52" s="7" t="s">
        <v>96</v>
      </c>
      <c r="C52" s="8" t="n">
        <v>45701</v>
      </c>
      <c r="D52" s="8" t="n">
        <v>45711</v>
      </c>
      <c r="E52" s="9" t="str">
        <f aca="false">IF($B52="","",IFERROR(INDEX(書籍!$B$2:$B$2000,MATCH($B52,書籍!$A$2:$A$2000,0)),"（沒建檔）"))</f>
        <v>看不見的信</v>
      </c>
      <c r="F52" s="9" t="str">
        <f aca="false">IF($A52="","",IFERROR(INDEX(會員!$B$2:$B$2000,MATCH($A52,會員!$A$2:$A$2000,0)),"（沒建檔）"))</f>
        <v>邱承翰</v>
      </c>
      <c r="G52" s="10" t="str">
        <f aca="false">IF($B52="","",IF($D52="","未還","已還"))</f>
        <v>已還</v>
      </c>
    </row>
    <row r="53" customFormat="false" ht="15" hidden="false" customHeight="false" outlineLevel="0" collapsed="false">
      <c r="A53" s="7" t="s">
        <v>97</v>
      </c>
      <c r="B53" s="7" t="s">
        <v>98</v>
      </c>
      <c r="C53" s="8" t="n">
        <v>45701</v>
      </c>
      <c r="D53" s="8" t="n">
        <v>45719</v>
      </c>
      <c r="E53" s="9" t="str">
        <f aca="false">IF($B53="","",IFERROR(INDEX(書籍!$B$2:$B$2000,MATCH($B53,書籍!$A$2:$A$2000,0)),"（沒建檔）"))</f>
        <v>北方廚房</v>
      </c>
      <c r="F53" s="9" t="str">
        <f aca="false">IF($A53="","",IFERROR(INDEX(會員!$B$2:$B$2000,MATCH($A53,會員!$A$2:$A$2000,0)),"（沒建檔）"))</f>
        <v>廖品妍</v>
      </c>
      <c r="G53" s="10" t="str">
        <f aca="false">IF($B53="","",IF($D53="","未還","已還"))</f>
        <v>已還</v>
      </c>
    </row>
    <row r="54" customFormat="false" ht="15" hidden="false" customHeight="false" outlineLevel="0" collapsed="false">
      <c r="A54" s="7" t="s">
        <v>99</v>
      </c>
      <c r="B54" s="7" t="s">
        <v>100</v>
      </c>
      <c r="C54" s="8" t="n">
        <v>45705</v>
      </c>
      <c r="D54" s="8" t="n">
        <v>45710</v>
      </c>
      <c r="E54" s="9" t="str">
        <f aca="false">IF($B54="","",IFERROR(INDEX(書籍!$B$2:$B$2000,MATCH($B54,書籍!$A$2:$A$2000,0)),"（沒建檔）"))</f>
        <v>小鎮咖啡館</v>
      </c>
      <c r="F54" s="9" t="str">
        <f aca="false">IF($A54="","",IFERROR(INDEX(會員!$B$2:$B$2000,MATCH($A54,會員!$A$2:$A$2000,0)),"（沒建檔）"))</f>
        <v>王芷萱</v>
      </c>
      <c r="G54" s="10" t="str">
        <f aca="false">IF($B54="","",IF($D54="","未還","已還"))</f>
        <v>已還</v>
      </c>
    </row>
    <row r="55" customFormat="false" ht="15" hidden="false" customHeight="false" outlineLevel="0" collapsed="false">
      <c r="A55" s="7" t="s">
        <v>101</v>
      </c>
      <c r="B55" s="7" t="s">
        <v>102</v>
      </c>
      <c r="C55" s="8" t="n">
        <v>45705</v>
      </c>
      <c r="D55" s="8" t="n">
        <v>45733</v>
      </c>
      <c r="E55" s="9" t="str">
        <f aca="false">IF($B55="","",IFERROR(INDEX(書籍!$B$2:$B$2000,MATCH($B55,書籍!$A$2:$A$2000,0)),"（沒建檔）"))</f>
        <v>最後一個偵探</v>
      </c>
      <c r="F55" s="9" t="str">
        <f aca="false">IF($A55="","",IFERROR(INDEX(會員!$B$2:$B$2000,MATCH($A55,會員!$A$2:$A$2000,0)),"（沒建檔）"))</f>
        <v>曾志明</v>
      </c>
      <c r="G55" s="10" t="str">
        <f aca="false">IF($B55="","",IF($D55="","未還","已還"))</f>
        <v>已還</v>
      </c>
    </row>
    <row r="56" customFormat="false" ht="15" hidden="false" customHeight="false" outlineLevel="0" collapsed="false">
      <c r="A56" s="7" t="s">
        <v>40</v>
      </c>
      <c r="B56" s="7" t="s">
        <v>103</v>
      </c>
      <c r="C56" s="8" t="n">
        <v>45706</v>
      </c>
      <c r="D56" s="8" t="n">
        <v>45713</v>
      </c>
      <c r="E56" s="9" t="str">
        <f aca="false">IF($B56="","",IFERROR(INDEX(書籍!$B$2:$B$2000,MATCH($B56,書籍!$A$2:$A$2000,0)),"（沒建檔）"))</f>
        <v>藍色約定</v>
      </c>
      <c r="F56" s="9" t="str">
        <f aca="false">IF($A56="","",IFERROR(INDEX(會員!$B$2:$B$2000,MATCH($A56,會員!$A$2:$A$2000,0)),"（沒建檔）"))</f>
        <v>賴佩珊</v>
      </c>
      <c r="G56" s="10" t="str">
        <f aca="false">IF($B56="","",IF($D56="","未還","已還"))</f>
        <v>已還</v>
      </c>
    </row>
    <row r="57" customFormat="false" ht="15" hidden="false" customHeight="false" outlineLevel="0" collapsed="false">
      <c r="A57" s="7" t="s">
        <v>54</v>
      </c>
      <c r="B57" s="7" t="s">
        <v>104</v>
      </c>
      <c r="C57" s="8" t="n">
        <v>45707</v>
      </c>
      <c r="D57" s="8" t="n">
        <v>45725</v>
      </c>
      <c r="E57" s="9" t="str">
        <f aca="false">IF($B57="","",IFERROR(INDEX(書籍!$B$2:$B$2000,MATCH($B57,書籍!$A$2:$A$2000,0)),"（沒建檔）"))</f>
        <v>藍色郵差</v>
      </c>
      <c r="F57" s="9" t="str">
        <f aca="false">IF($A57="","",IFERROR(INDEX(會員!$B$2:$B$2000,MATCH($A57,會員!$A$2:$A$2000,0)),"（沒建檔）"))</f>
        <v>洪季軒</v>
      </c>
      <c r="G57" s="10" t="str">
        <f aca="false">IF($B57="","",IF($D57="","未還","已還"))</f>
        <v>已還</v>
      </c>
    </row>
    <row r="58" customFormat="false" ht="15" hidden="false" customHeight="false" outlineLevel="0" collapsed="false">
      <c r="A58" s="7" t="s">
        <v>54</v>
      </c>
      <c r="B58" s="7" t="s">
        <v>105</v>
      </c>
      <c r="C58" s="8" t="n">
        <v>45707</v>
      </c>
      <c r="D58" s="8" t="n">
        <v>45716</v>
      </c>
      <c r="E58" s="9" t="str">
        <f aca="false">IF($B58="","",IFERROR(INDEX(書籍!$B$2:$B$2000,MATCH($B58,書籍!$A$2:$A$2000,0)),"（沒建檔）"))</f>
        <v>月球旅人</v>
      </c>
      <c r="F58" s="9" t="str">
        <f aca="false">IF($A58="","",IFERROR(INDEX(會員!$B$2:$B$2000,MATCH($A58,會員!$A$2:$A$2000,0)),"（沒建檔）"))</f>
        <v>洪季軒</v>
      </c>
      <c r="G58" s="10" t="str">
        <f aca="false">IF($B58="","",IF($D58="","未還","已還"))</f>
        <v>已還</v>
      </c>
    </row>
    <row r="59" customFormat="false" ht="15" hidden="false" customHeight="false" outlineLevel="0" collapsed="false">
      <c r="A59" s="7" t="s">
        <v>99</v>
      </c>
      <c r="B59" s="7" t="s">
        <v>106</v>
      </c>
      <c r="C59" s="8" t="n">
        <v>45708</v>
      </c>
      <c r="D59" s="8" t="n">
        <v>45726</v>
      </c>
      <c r="E59" s="9" t="str">
        <f aca="false">IF($B59="","",IFERROR(INDEX(書籍!$B$2:$B$2000,MATCH($B59,書籍!$A$2:$A$2000,0)),"（沒建檔）"))</f>
        <v>轉角鋼琴師</v>
      </c>
      <c r="F59" s="9" t="str">
        <f aca="false">IF($A59="","",IFERROR(INDEX(會員!$B$2:$B$2000,MATCH($A59,會員!$A$2:$A$2000,0)),"（沒建檔）"))</f>
        <v>王芷萱</v>
      </c>
      <c r="G59" s="10" t="str">
        <f aca="false">IF($B59="","",IF($D59="","未還","已還"))</f>
        <v>已還</v>
      </c>
    </row>
    <row r="60" customFormat="false" ht="15" hidden="false" customHeight="false" outlineLevel="0" collapsed="false">
      <c r="A60" s="7" t="s">
        <v>107</v>
      </c>
      <c r="B60" s="7" t="s">
        <v>64</v>
      </c>
      <c r="C60" s="8" t="n">
        <v>45708</v>
      </c>
      <c r="D60" s="8" t="n">
        <v>45723</v>
      </c>
      <c r="E60" s="9" t="str">
        <f aca="false">IF($B60="","",IFERROR(INDEX(書籍!$B$2:$B$2000,MATCH($B60,書籍!$A$2:$A$2000,0)),"（沒建檔）"))</f>
        <v>雨中書店</v>
      </c>
      <c r="F60" s="9" t="str">
        <f aca="false">IF($A60="","",IFERROR(INDEX(會員!$B$2:$B$2000,MATCH($A60,會員!$A$2:$A$2000,0)),"（沒建檔）"))</f>
        <v>陳祐誠</v>
      </c>
      <c r="G60" s="10" t="str">
        <f aca="false">IF($B60="","",IF($D60="","未還","已還"))</f>
        <v>已還</v>
      </c>
    </row>
    <row r="61" customFormat="false" ht="15" hidden="false" customHeight="false" outlineLevel="0" collapsed="false">
      <c r="A61" s="7" t="s">
        <v>24</v>
      </c>
      <c r="B61" s="7" t="s">
        <v>69</v>
      </c>
      <c r="C61" s="8" t="n">
        <v>45709</v>
      </c>
      <c r="D61" s="8" t="n">
        <v>45715</v>
      </c>
      <c r="E61" s="9" t="str">
        <f aca="false">IF($B61="","",IFERROR(INDEX(書籍!$B$2:$B$2000,MATCH($B61,書籍!$A$2:$A$2000,0)),"（沒建檔）"))</f>
        <v>藍色祕密</v>
      </c>
      <c r="F61" s="9" t="str">
        <f aca="false">IF($A61="","",IFERROR(INDEX(會員!$B$2:$B$2000,MATCH($A61,會員!$A$2:$A$2000,0)),"（沒建檔）"))</f>
        <v>吳雅婷</v>
      </c>
      <c r="G61" s="10" t="str">
        <f aca="false">IF($B61="","",IF($D61="","未還","已還"))</f>
        <v>已還</v>
      </c>
    </row>
    <row r="62" customFormat="false" ht="15" hidden="false" customHeight="false" outlineLevel="0" collapsed="false">
      <c r="A62" s="7" t="s">
        <v>46</v>
      </c>
      <c r="B62" s="7" t="s">
        <v>108</v>
      </c>
      <c r="C62" s="8" t="n">
        <v>45709</v>
      </c>
      <c r="D62" s="8" t="n">
        <v>45726</v>
      </c>
      <c r="E62" s="9" t="str">
        <f aca="false">IF($B62="","",IFERROR(INDEX(書籍!$B$2:$B$2000,MATCH($B62,書籍!$A$2:$A$2000,0)),"（沒建檔）"))</f>
        <v>兩個人的森林</v>
      </c>
      <c r="F62" s="9" t="str">
        <f aca="false">IF($A62="","",IFERROR(INDEX(會員!$B$2:$B$2000,MATCH($A62,會員!$A$2:$A$2000,0)),"（沒建檔）"))</f>
        <v>郭思妤</v>
      </c>
      <c r="G62" s="10" t="str">
        <f aca="false">IF($B62="","",IF($D62="","未還","已還"))</f>
        <v>已還</v>
      </c>
    </row>
    <row r="63" customFormat="false" ht="15" hidden="false" customHeight="false" outlineLevel="0" collapsed="false">
      <c r="A63" s="7" t="s">
        <v>22</v>
      </c>
      <c r="B63" s="7" t="s">
        <v>85</v>
      </c>
      <c r="C63" s="8" t="n">
        <v>45710</v>
      </c>
      <c r="D63" s="8" t="n">
        <v>45719</v>
      </c>
      <c r="E63" s="9" t="str">
        <f aca="false">IF($B63="","",IFERROR(INDEX(書籍!$B$2:$B$2000,MATCH($B63,書籍!$A$2:$A$2000,0)),"（沒建檔）"))</f>
        <v>深夜的鋼琴師</v>
      </c>
      <c r="F63" s="9" t="str">
        <f aca="false">IF($A63="","",IFERROR(INDEX(會員!$B$2:$B$2000,MATCH($A63,會員!$A$2:$A$2000,0)),"（沒建檔）"))</f>
        <v>王思妤</v>
      </c>
      <c r="G63" s="10" t="str">
        <f aca="false">IF($B63="","",IF($D63="","未還","已還"))</f>
        <v>已還</v>
      </c>
    </row>
    <row r="64" customFormat="false" ht="15" hidden="false" customHeight="false" outlineLevel="0" collapsed="false">
      <c r="A64" s="7" t="s">
        <v>75</v>
      </c>
      <c r="B64" s="7" t="s">
        <v>109</v>
      </c>
      <c r="C64" s="8" t="n">
        <v>45711</v>
      </c>
      <c r="D64" s="8" t="n">
        <v>45735</v>
      </c>
      <c r="E64" s="9" t="str">
        <f aca="false">IF($B64="","",IFERROR(INDEX(書籍!$B$2:$B$2000,MATCH($B64,書籍!$A$2:$A$2000,0)),"（沒建檔）"))</f>
        <v>深夜的河</v>
      </c>
      <c r="F64" s="9" t="str">
        <f aca="false">IF($A64="","",IFERROR(INDEX(會員!$B$2:$B$2000,MATCH($A64,會員!$A$2:$A$2000,0)),"（沒建檔）"))</f>
        <v>黃芷萱</v>
      </c>
      <c r="G64" s="10" t="str">
        <f aca="false">IF($B64="","",IF($D64="","未還","已還"))</f>
        <v>已還</v>
      </c>
    </row>
    <row r="65" customFormat="false" ht="15" hidden="false" customHeight="false" outlineLevel="0" collapsed="false">
      <c r="A65" s="7" t="s">
        <v>37</v>
      </c>
      <c r="B65" s="7" t="s">
        <v>110</v>
      </c>
      <c r="C65" s="8" t="n">
        <v>45711</v>
      </c>
      <c r="D65" s="8" t="n">
        <v>45713</v>
      </c>
      <c r="E65" s="9" t="str">
        <f aca="false">IF($B65="","",IFERROR(INDEX(書籍!$B$2:$B$2000,MATCH($B65,書籍!$A$2:$A$2000,0)),"（沒建檔）"))</f>
        <v>雨中手記</v>
      </c>
      <c r="F65" s="9" t="str">
        <f aca="false">IF($A65="","",IFERROR(INDEX(會員!$B$2:$B$2000,MATCH($A65,會員!$A$2:$A$2000,0)),"（沒建檔）"))</f>
        <v>郭芷萱</v>
      </c>
      <c r="G65" s="10" t="str">
        <f aca="false">IF($B65="","",IF($D65="","未還","已還"))</f>
        <v>已還</v>
      </c>
    </row>
    <row r="66" customFormat="false" ht="15" hidden="false" customHeight="false" outlineLevel="0" collapsed="false">
      <c r="A66" s="7" t="s">
        <v>56</v>
      </c>
      <c r="B66" s="7" t="s">
        <v>111</v>
      </c>
      <c r="C66" s="8" t="n">
        <v>45713</v>
      </c>
      <c r="D66" s="8" t="n">
        <v>45731</v>
      </c>
      <c r="E66" s="9" t="str">
        <f aca="false">IF($B66="","",IFERROR(INDEX(書籍!$B$2:$B$2000,MATCH($B66,書籍!$A$2:$A$2000,0)),"（沒建檔）"))</f>
        <v>雨中燈塔</v>
      </c>
      <c r="F66" s="9" t="str">
        <f aca="false">IF($A66="","",IFERROR(INDEX(會員!$B$2:$B$2000,MATCH($A66,會員!$A$2:$A$2000,0)),"（沒建檔）"))</f>
        <v>李季軒</v>
      </c>
      <c r="G66" s="10" t="str">
        <f aca="false">IF($B66="","",IF($D66="","未還","已還"))</f>
        <v>已還</v>
      </c>
    </row>
    <row r="67" customFormat="false" ht="15" hidden="false" customHeight="false" outlineLevel="0" collapsed="false">
      <c r="A67" s="7" t="s">
        <v>66</v>
      </c>
      <c r="B67" s="7" t="s">
        <v>112</v>
      </c>
      <c r="C67" s="8" t="n">
        <v>45713</v>
      </c>
      <c r="D67" s="8" t="n">
        <v>45727</v>
      </c>
      <c r="E67" s="9" t="str">
        <f aca="false">IF($B67="","",IFERROR(INDEX(書籍!$B$2:$B$2000,MATCH($B67,書籍!$A$2:$A$2000,0)),"（沒建檔）"))</f>
        <v>圖書館地圖</v>
      </c>
      <c r="F67" s="9" t="str">
        <f aca="false">IF($A67="","",IFERROR(INDEX(會員!$B$2:$B$2000,MATCH($A67,會員!$A$2:$A$2000,0)),"（沒建檔）"))</f>
        <v>郭柏翰</v>
      </c>
      <c r="G67" s="10" t="str">
        <f aca="false">IF($B67="","",IF($D67="","未還","已還"))</f>
        <v>已還</v>
      </c>
    </row>
    <row r="68" customFormat="false" ht="15" hidden="false" customHeight="false" outlineLevel="0" collapsed="false">
      <c r="A68" s="7" t="s">
        <v>113</v>
      </c>
      <c r="B68" s="7" t="s">
        <v>59</v>
      </c>
      <c r="C68" s="8" t="n">
        <v>45715</v>
      </c>
      <c r="D68" s="8" t="n">
        <v>45727</v>
      </c>
      <c r="E68" s="9" t="str">
        <f aca="false">IF($B68="","",IFERROR(INDEX(書籍!$B$2:$B$2000,MATCH($B68,書籍!$A$2:$A$2000,0)),"（沒建檔）"))</f>
        <v>月球回信</v>
      </c>
      <c r="F68" s="9" t="str">
        <f aca="false">IF($A68="","",IFERROR(INDEX(會員!$B$2:$B$2000,MATCH($A68,會員!$A$2:$A$2000,0)),"（沒建檔）"))</f>
        <v>謝子涵</v>
      </c>
      <c r="G68" s="10" t="str">
        <f aca="false">IF($B68="","",IF($D68="","未還","已還"))</f>
        <v>已還</v>
      </c>
    </row>
    <row r="69" customFormat="false" ht="15" hidden="false" customHeight="false" outlineLevel="0" collapsed="false">
      <c r="A69" s="7" t="s">
        <v>51</v>
      </c>
      <c r="B69" s="7" t="s">
        <v>114</v>
      </c>
      <c r="C69" s="8" t="n">
        <v>45715</v>
      </c>
      <c r="D69" s="8" t="n">
        <v>45727</v>
      </c>
      <c r="E69" s="9" t="str">
        <f aca="false">IF($B69="","",IFERROR(INDEX(書籍!$B$2:$B$2000,MATCH($B69,書籍!$A$2:$A$2000,0)),"（沒建檔）"))</f>
        <v>漫長的偵探</v>
      </c>
      <c r="F69" s="9" t="str">
        <f aca="false">IF($A69="","",IFERROR(INDEX(會員!$B$2:$B$2000,MATCH($A69,會員!$A$2:$A$2000,0)),"（沒建檔）"))</f>
        <v>林子涵</v>
      </c>
      <c r="G69" s="10" t="str">
        <f aca="false">IF($B69="","",IF($D69="","未還","已還"))</f>
        <v>已還</v>
      </c>
    </row>
    <row r="70" customFormat="false" ht="15" hidden="false" customHeight="false" outlineLevel="0" collapsed="false">
      <c r="A70" s="7" t="s">
        <v>32</v>
      </c>
      <c r="B70" s="7" t="s">
        <v>115</v>
      </c>
      <c r="C70" s="8" t="n">
        <v>45715</v>
      </c>
      <c r="D70" s="8" t="n">
        <v>45734</v>
      </c>
      <c r="E70" s="9" t="str">
        <f aca="false">IF($B70="","",IFERROR(INDEX(書籍!$B$2:$B$2000,MATCH($B70,書籍!$A$2:$A$2000,0)),"（沒建檔）"))</f>
        <v>會說話的偵探</v>
      </c>
      <c r="F70" s="9" t="str">
        <f aca="false">IF($A70="","",IFERROR(INDEX(會員!$B$2:$B$2000,MATCH($A70,會員!$A$2:$A$2000,0)),"（沒建檔）"))</f>
        <v>李子涵</v>
      </c>
      <c r="G70" s="10" t="str">
        <f aca="false">IF($B70="","",IF($D70="","未還","已還"))</f>
        <v>已還</v>
      </c>
    </row>
    <row r="71" customFormat="false" ht="15" hidden="false" customHeight="false" outlineLevel="0" collapsed="false">
      <c r="A71" s="7" t="s">
        <v>32</v>
      </c>
      <c r="B71" s="7" t="s">
        <v>103</v>
      </c>
      <c r="C71" s="8" t="n">
        <v>45716</v>
      </c>
      <c r="D71" s="8" t="n">
        <v>45738</v>
      </c>
      <c r="E71" s="9" t="str">
        <f aca="false">IF($B71="","",IFERROR(INDEX(書籍!$B$2:$B$2000,MATCH($B71,書籍!$A$2:$A$2000,0)),"（沒建檔）"))</f>
        <v>藍色約定</v>
      </c>
      <c r="F71" s="9" t="str">
        <f aca="false">IF($A71="","",IFERROR(INDEX(會員!$B$2:$B$2000,MATCH($A71,會員!$A$2:$A$2000,0)),"（沒建檔）"))</f>
        <v>李子涵</v>
      </c>
      <c r="G71" s="10" t="str">
        <f aca="false">IF($B71="","",IF($D71="","未還","已還"))</f>
        <v>已還</v>
      </c>
    </row>
    <row r="72" customFormat="false" ht="15" hidden="false" customHeight="false" outlineLevel="0" collapsed="false">
      <c r="A72" s="7" t="s">
        <v>60</v>
      </c>
      <c r="B72" s="7" t="s">
        <v>29</v>
      </c>
      <c r="C72" s="8" t="n">
        <v>45718</v>
      </c>
      <c r="D72" s="8" t="n">
        <v>45740</v>
      </c>
      <c r="E72" s="9" t="str">
        <f aca="false">IF($B72="","",IFERROR(INDEX(書籍!$B$2:$B$2000,MATCH($B72,書籍!$A$2:$A$2000,0)),"（沒建檔）"))</f>
        <v>十二個廚房</v>
      </c>
      <c r="F72" s="9" t="str">
        <f aca="false">IF($A72="","",IFERROR(INDEX(會員!$B$2:$B$2000,MATCH($A72,會員!$A$2:$A$2000,0)),"（沒建檔）"))</f>
        <v>李怡君</v>
      </c>
      <c r="G72" s="10" t="str">
        <f aca="false">IF($B72="","",IF($D72="","未還","已還"))</f>
        <v>已還</v>
      </c>
    </row>
    <row r="73" customFormat="false" ht="15" hidden="false" customHeight="false" outlineLevel="0" collapsed="false">
      <c r="A73" s="7" t="s">
        <v>116</v>
      </c>
      <c r="B73" s="7" t="s">
        <v>117</v>
      </c>
      <c r="C73" s="8" t="n">
        <v>45720</v>
      </c>
      <c r="D73" s="8" t="n">
        <v>45739</v>
      </c>
      <c r="E73" s="9" t="str">
        <f aca="false">IF($B73="","",IFERROR(INDEX(書籍!$B$2:$B$2000,MATCH($B73,書籍!$A$2:$A$2000,0)),"（沒建檔）"))</f>
        <v>兩個人的偵探</v>
      </c>
      <c r="F73" s="9" t="str">
        <f aca="false">IF($A73="","",IFERROR(INDEX(會員!$B$2:$B$2000,MATCH($A73,會員!$A$2:$A$2000,0)),"（沒建檔）"))</f>
        <v>郭詠晴</v>
      </c>
      <c r="G73" s="10" t="str">
        <f aca="false">IF($B73="","",IF($D73="","未還","已還"))</f>
        <v>已還</v>
      </c>
    </row>
    <row r="74" customFormat="false" ht="15" hidden="false" customHeight="false" outlineLevel="0" collapsed="false">
      <c r="A74" s="7" t="s">
        <v>51</v>
      </c>
      <c r="B74" s="7" t="s">
        <v>118</v>
      </c>
      <c r="C74" s="8" t="n">
        <v>45720</v>
      </c>
      <c r="D74" s="8" t="n">
        <v>45735</v>
      </c>
      <c r="E74" s="9" t="str">
        <f aca="false">IF($B74="","",IFERROR(INDEX(書籍!$B$2:$B$2000,MATCH($B74,書籍!$A$2:$A$2000,0)),"（沒建檔）"))</f>
        <v>地下室貓</v>
      </c>
      <c r="F74" s="9" t="str">
        <f aca="false">IF($A74="","",IFERROR(INDEX(會員!$B$2:$B$2000,MATCH($A74,會員!$A$2:$A$2000,0)),"（沒建檔）"))</f>
        <v>林子涵</v>
      </c>
      <c r="G74" s="10" t="str">
        <f aca="false">IF($B74="","",IF($D74="","未還","已還"))</f>
        <v>已還</v>
      </c>
    </row>
    <row r="75" customFormat="false" ht="15" hidden="false" customHeight="false" outlineLevel="0" collapsed="false">
      <c r="A75" s="7" t="s">
        <v>32</v>
      </c>
      <c r="B75" s="7" t="s">
        <v>119</v>
      </c>
      <c r="C75" s="8" t="n">
        <v>45721</v>
      </c>
      <c r="D75" s="8" t="n">
        <v>45739</v>
      </c>
      <c r="E75" s="9" t="str">
        <f aca="false">IF($B75="","",IFERROR(INDEX(書籍!$B$2:$B$2000,MATCH($B75,書籍!$A$2:$A$2000,0)),"（沒建檔）"))</f>
        <v>藍色河</v>
      </c>
      <c r="F75" s="9" t="str">
        <f aca="false">IF($A75="","",IFERROR(INDEX(會員!$B$2:$B$2000,MATCH($A75,會員!$A$2:$A$2000,0)),"（沒建檔）"))</f>
        <v>李子涵</v>
      </c>
      <c r="G75" s="10" t="str">
        <f aca="false">IF($B75="","",IF($D75="","未還","已還"))</f>
        <v>已還</v>
      </c>
    </row>
    <row r="76" customFormat="false" ht="15" hidden="false" customHeight="false" outlineLevel="0" collapsed="false">
      <c r="A76" s="7" t="s">
        <v>44</v>
      </c>
      <c r="B76" s="7" t="s">
        <v>78</v>
      </c>
      <c r="C76" s="8" t="n">
        <v>45722</v>
      </c>
      <c r="D76" s="8" t="n">
        <v>45741</v>
      </c>
      <c r="E76" s="9" t="str">
        <f aca="false">IF($B76="","",IFERROR(INDEX(書籍!$B$2:$B$2000,MATCH($B76,書籍!$A$2:$A$2000,0)),"（沒建檔）"))</f>
        <v>冬季約定</v>
      </c>
      <c r="F76" s="9" t="str">
        <f aca="false">IF($A76="","",IFERROR(INDEX(會員!$B$2:$B$2000,MATCH($A76,會員!$A$2:$A$2000,0)),"（沒建檔）"))</f>
        <v>郭柏翰</v>
      </c>
      <c r="G76" s="10" t="str">
        <f aca="false">IF($B76="","",IF($D76="","未還","已還"))</f>
        <v>已還</v>
      </c>
    </row>
    <row r="77" customFormat="false" ht="15" hidden="false" customHeight="false" outlineLevel="0" collapsed="false">
      <c r="A77" s="7" t="s">
        <v>24</v>
      </c>
      <c r="B77" s="7" t="s">
        <v>120</v>
      </c>
      <c r="C77" s="8" t="n">
        <v>45722</v>
      </c>
      <c r="D77" s="8" t="n">
        <v>45750</v>
      </c>
      <c r="E77" s="9" t="str">
        <f aca="false">IF($B77="","",IFERROR(INDEX(書籍!$B$2:$B$2000,MATCH($B77,書籍!$A$2:$A$2000,0)),"（沒建檔）"))</f>
        <v>月球廚房</v>
      </c>
      <c r="F77" s="9" t="str">
        <f aca="false">IF($A77="","",IFERROR(INDEX(會員!$B$2:$B$2000,MATCH($A77,會員!$A$2:$A$2000,0)),"（沒建檔）"))</f>
        <v>吳雅婷</v>
      </c>
      <c r="G77" s="10" t="str">
        <f aca="false">IF($B77="","",IF($D77="","未還","已還"))</f>
        <v>已還</v>
      </c>
    </row>
    <row r="78" customFormat="false" ht="15" hidden="false" customHeight="false" outlineLevel="0" collapsed="false">
      <c r="A78" s="7" t="s">
        <v>63</v>
      </c>
      <c r="B78" s="7" t="s">
        <v>55</v>
      </c>
      <c r="C78" s="8" t="n">
        <v>45724</v>
      </c>
      <c r="D78" s="8" t="n">
        <v>45743</v>
      </c>
      <c r="E78" s="9" t="str">
        <f aca="false">IF($B78="","",IFERROR(INDEX(書籍!$B$2:$B$2000,MATCH($B78,書籍!$A$2:$A$2000,0)),"（沒建檔）"))</f>
        <v>漫長的鐘樓</v>
      </c>
      <c r="F78" s="9" t="str">
        <f aca="false">IF($A78="","",IFERROR(INDEX(會員!$B$2:$B$2000,MATCH($A78,會員!$A$2:$A$2000,0)),"（沒建檔）"))</f>
        <v>陳祐誠</v>
      </c>
      <c r="G78" s="10" t="str">
        <f aca="false">IF($B78="","",IF($D78="","未還","已還"))</f>
        <v>已還</v>
      </c>
    </row>
    <row r="79" customFormat="false" ht="15" hidden="false" customHeight="false" outlineLevel="0" collapsed="false">
      <c r="A79" s="7" t="s">
        <v>49</v>
      </c>
      <c r="B79" s="7" t="s">
        <v>121</v>
      </c>
      <c r="C79" s="8" t="n">
        <v>45725</v>
      </c>
      <c r="D79" s="8" t="n">
        <v>45751</v>
      </c>
      <c r="E79" s="9" t="str">
        <f aca="false">IF($B79="","",IFERROR(INDEX(書籍!$B$2:$B$2000,MATCH($B79,書籍!$A$2:$A$2000,0)),"（沒建檔）"))</f>
        <v>轉角夏天</v>
      </c>
      <c r="F79" s="9" t="str">
        <f aca="false">IF($A79="","",IFERROR(INDEX(會員!$B$2:$B$2000,MATCH($A79,會員!$A$2:$A$2000,0)),"（沒建檔）"))</f>
        <v>張宜庭</v>
      </c>
      <c r="G79" s="10" t="str">
        <f aca="false">IF($B79="","",IF($D79="","未還","已還"))</f>
        <v>已還</v>
      </c>
    </row>
    <row r="80" customFormat="false" ht="15" hidden="false" customHeight="false" outlineLevel="0" collapsed="false">
      <c r="A80" s="7" t="s">
        <v>68</v>
      </c>
      <c r="B80" s="7" t="s">
        <v>90</v>
      </c>
      <c r="C80" s="8" t="n">
        <v>45727</v>
      </c>
      <c r="D80" s="8" t="n">
        <v>45753</v>
      </c>
      <c r="E80" s="9" t="str">
        <f aca="false">IF($B80="","",IFERROR(INDEX(書籍!$B$2:$B$2000,MATCH($B80,書籍!$A$2:$A$2000,0)),"（沒建檔）"))</f>
        <v>漫長的書店</v>
      </c>
      <c r="F80" s="9" t="str">
        <f aca="false">IF($A80="","",IFERROR(INDEX(會員!$B$2:$B$2000,MATCH($A80,會員!$A$2:$A$2000,0)),"（沒建檔）"))</f>
        <v>賴建宏</v>
      </c>
      <c r="G80" s="10" t="str">
        <f aca="false">IF($B80="","",IF($D80="","未還","已還"))</f>
        <v>已還</v>
      </c>
    </row>
    <row r="81" customFormat="false" ht="15" hidden="false" customHeight="false" outlineLevel="0" collapsed="false">
      <c r="A81" s="7" t="s">
        <v>122</v>
      </c>
      <c r="B81" s="7" t="s">
        <v>123</v>
      </c>
      <c r="C81" s="8" t="n">
        <v>45727</v>
      </c>
      <c r="D81" s="8" t="n">
        <v>45756</v>
      </c>
      <c r="E81" s="9" t="str">
        <f aca="false">IF($B81="","",IFERROR(INDEX(書籍!$B$2:$B$2000,MATCH($B81,書籍!$A$2:$A$2000,0)),"（沒建檔）"))</f>
        <v>十二個書店</v>
      </c>
      <c r="F81" s="9" t="str">
        <f aca="false">IF($A81="","",IFERROR(INDEX(會員!$B$2:$B$2000,MATCH($A81,會員!$A$2:$A$2000,0)),"（沒建檔）"))</f>
        <v>周彥廷</v>
      </c>
      <c r="G81" s="10" t="str">
        <f aca="false">IF($B81="","",IF($D81="","未還","已還"))</f>
        <v>已還</v>
      </c>
    </row>
    <row r="82" customFormat="false" ht="15" hidden="false" customHeight="false" outlineLevel="0" collapsed="false">
      <c r="A82" s="7" t="s">
        <v>44</v>
      </c>
      <c r="B82" s="7" t="s">
        <v>71</v>
      </c>
      <c r="C82" s="8" t="n">
        <v>45728</v>
      </c>
      <c r="D82" s="8" t="n">
        <v>45752</v>
      </c>
      <c r="E82" s="9" t="str">
        <f aca="false">IF($B82="","",IFERROR(INDEX(書籍!$B$2:$B$2000,MATCH($B82,書籍!$A$2:$A$2000,0)),"（沒建檔）"))</f>
        <v>深夜的手記</v>
      </c>
      <c r="F82" s="9" t="str">
        <f aca="false">IF($A82="","",IFERROR(INDEX(會員!$B$2:$B$2000,MATCH($A82,會員!$A$2:$A$2000,0)),"（沒建檔）"))</f>
        <v>郭柏翰</v>
      </c>
      <c r="G82" s="10" t="str">
        <f aca="false">IF($B82="","",IF($D82="","未還","已還"))</f>
        <v>已還</v>
      </c>
    </row>
    <row r="83" customFormat="false" ht="15" hidden="false" customHeight="false" outlineLevel="0" collapsed="false">
      <c r="A83" s="7" t="s">
        <v>122</v>
      </c>
      <c r="B83" s="7" t="s">
        <v>124</v>
      </c>
      <c r="C83" s="8" t="n">
        <v>45728</v>
      </c>
      <c r="D83" s="8" t="n">
        <v>45738</v>
      </c>
      <c r="E83" s="9" t="str">
        <f aca="false">IF($B83="","",IFERROR(INDEX(書籍!$B$2:$B$2000,MATCH($B83,書籍!$A$2:$A$2000,0)),"（沒建檔）"))</f>
        <v>深夜的燈塔</v>
      </c>
      <c r="F83" s="9" t="str">
        <f aca="false">IF($A83="","",IFERROR(INDEX(會員!$B$2:$B$2000,MATCH($A83,會員!$A$2:$A$2000,0)),"（沒建檔）"))</f>
        <v>周彥廷</v>
      </c>
      <c r="G83" s="10" t="str">
        <f aca="false">IF($B83="","",IF($D83="","未還","已還"))</f>
        <v>已還</v>
      </c>
    </row>
    <row r="84" customFormat="false" ht="15" hidden="false" customHeight="false" outlineLevel="0" collapsed="false">
      <c r="A84" s="7" t="s">
        <v>40</v>
      </c>
      <c r="B84" s="7" t="s">
        <v>125</v>
      </c>
      <c r="C84" s="8" t="n">
        <v>45728</v>
      </c>
      <c r="D84" s="8" t="n">
        <v>45730</v>
      </c>
      <c r="E84" s="9" t="str">
        <f aca="false">IF($B84="","",IFERROR(INDEX(書籍!$B$2:$B$2000,MATCH($B84,書籍!$A$2:$A$2000,0)),"（沒建檔）"))</f>
        <v>會說話的夏天</v>
      </c>
      <c r="F84" s="9" t="str">
        <f aca="false">IF($A84="","",IFERROR(INDEX(會員!$B$2:$B$2000,MATCH($A84,會員!$A$2:$A$2000,0)),"（沒建檔）"))</f>
        <v>賴佩珊</v>
      </c>
      <c r="G84" s="10" t="str">
        <f aca="false">IF($B84="","",IF($D84="","未還","已還"))</f>
        <v>已還</v>
      </c>
    </row>
    <row r="85" customFormat="false" ht="15" hidden="false" customHeight="false" outlineLevel="0" collapsed="false">
      <c r="A85" s="7" t="s">
        <v>28</v>
      </c>
      <c r="B85" s="7" t="s">
        <v>126</v>
      </c>
      <c r="C85" s="8" t="n">
        <v>45729</v>
      </c>
      <c r="D85" s="8" t="n">
        <v>45735</v>
      </c>
      <c r="E85" s="9" t="str">
        <f aca="false">IF($B85="","",IFERROR(INDEX(書籍!$B$2:$B$2000,MATCH($B85,書籍!$A$2:$A$2000,0)),"（沒建檔）"))</f>
        <v>地下室列車</v>
      </c>
      <c r="F85" s="9" t="str">
        <f aca="false">IF($A85="","",IFERROR(INDEX(會員!$B$2:$B$2000,MATCH($A85,會員!$A$2:$A$2000,0)),"（沒建檔）"))</f>
        <v>郭妍希</v>
      </c>
      <c r="G85" s="10" t="str">
        <f aca="false">IF($B85="","",IF($D85="","未還","已還"))</f>
        <v>已還</v>
      </c>
    </row>
    <row r="86" customFormat="false" ht="15" hidden="false" customHeight="false" outlineLevel="0" collapsed="false">
      <c r="A86" s="7" t="s">
        <v>68</v>
      </c>
      <c r="B86" s="7" t="s">
        <v>127</v>
      </c>
      <c r="C86" s="8" t="n">
        <v>45729</v>
      </c>
      <c r="D86" s="8" t="n">
        <v>45748</v>
      </c>
      <c r="E86" s="9" t="str">
        <f aca="false">IF($B86="","",IFERROR(INDEX(書籍!$B$2:$B$2000,MATCH($B86,書籍!$A$2:$A$2000,0)),"（沒建檔）"))</f>
        <v>第七號鐘樓</v>
      </c>
      <c r="F86" s="9" t="str">
        <f aca="false">IF($A86="","",IFERROR(INDEX(會員!$B$2:$B$2000,MATCH($A86,會員!$A$2:$A$2000,0)),"（沒建檔）"))</f>
        <v>賴建宏</v>
      </c>
      <c r="G86" s="10" t="str">
        <f aca="false">IF($B86="","",IF($D86="","未還","已還"))</f>
        <v>已還</v>
      </c>
    </row>
    <row r="87" customFormat="false" ht="15" hidden="false" customHeight="false" outlineLevel="0" collapsed="false">
      <c r="A87" s="7" t="s">
        <v>54</v>
      </c>
      <c r="B87" s="7" t="s">
        <v>110</v>
      </c>
      <c r="C87" s="8" t="n">
        <v>45729</v>
      </c>
      <c r="D87" s="8" t="n">
        <v>45755</v>
      </c>
      <c r="E87" s="9" t="str">
        <f aca="false">IF($B87="","",IFERROR(INDEX(書籍!$B$2:$B$2000,MATCH($B87,書籍!$A$2:$A$2000,0)),"（沒建檔）"))</f>
        <v>雨中手記</v>
      </c>
      <c r="F87" s="9" t="str">
        <f aca="false">IF($A87="","",IFERROR(INDEX(會員!$B$2:$B$2000,MATCH($A87,會員!$A$2:$A$2000,0)),"（沒建檔）"))</f>
        <v>洪季軒</v>
      </c>
      <c r="G87" s="10" t="str">
        <f aca="false">IF($B87="","",IF($D87="","未還","已還"))</f>
        <v>已還</v>
      </c>
    </row>
    <row r="88" customFormat="false" ht="15" hidden="false" customHeight="false" outlineLevel="0" collapsed="false">
      <c r="A88" s="7" t="s">
        <v>77</v>
      </c>
      <c r="B88" s="7" t="s">
        <v>128</v>
      </c>
      <c r="C88" s="8" t="n">
        <v>45730</v>
      </c>
      <c r="D88" s="8" t="n">
        <v>45736</v>
      </c>
      <c r="E88" s="9" t="str">
        <f aca="false">IF($B88="","",IFERROR(INDEX(書籍!$B$2:$B$2000,MATCH($B88,書籍!$A$2:$A$2000,0)),"（沒建檔）"))</f>
        <v>地下室夏天</v>
      </c>
      <c r="F88" s="9" t="str">
        <f aca="false">IF($A88="","",IFERROR(INDEX(會員!$B$2:$B$2000,MATCH($A88,會員!$A$2:$A$2000,0)),"（沒建檔）"))</f>
        <v>吳柏翰</v>
      </c>
      <c r="G88" s="10" t="str">
        <f aca="false">IF($B88="","",IF($D88="","未還","已還"))</f>
        <v>已還</v>
      </c>
    </row>
    <row r="89" customFormat="false" ht="15" hidden="false" customHeight="false" outlineLevel="0" collapsed="false">
      <c r="A89" s="7" t="s">
        <v>129</v>
      </c>
      <c r="B89" s="7" t="s">
        <v>73</v>
      </c>
      <c r="C89" s="8" t="n">
        <v>45731</v>
      </c>
      <c r="D89" s="8" t="n">
        <v>45749</v>
      </c>
      <c r="E89" s="9" t="str">
        <f aca="false">IF($B89="","",IFERROR(INDEX(書籍!$B$2:$B$2000,MATCH($B89,書籍!$A$2:$A$2000,0)),"（沒建檔）"))</f>
        <v>海邊的森林</v>
      </c>
      <c r="F89" s="9" t="str">
        <f aca="false">IF($A89="","",IFERROR(INDEX(會員!$B$2:$B$2000,MATCH($A89,會員!$A$2:$A$2000,0)),"（沒建檔）"))</f>
        <v>劉柏翰</v>
      </c>
      <c r="G89" s="10" t="str">
        <f aca="false">IF($B89="","",IF($D89="","未還","已還"))</f>
        <v>已還</v>
      </c>
    </row>
    <row r="90" customFormat="false" ht="15" hidden="false" customHeight="false" outlineLevel="0" collapsed="false">
      <c r="A90" s="7" t="s">
        <v>24</v>
      </c>
      <c r="B90" s="7" t="s">
        <v>100</v>
      </c>
      <c r="C90" s="8" t="n">
        <v>45731</v>
      </c>
      <c r="D90" s="8" t="n">
        <v>45758</v>
      </c>
      <c r="E90" s="9" t="str">
        <f aca="false">IF($B90="","",IFERROR(INDEX(書籍!$B$2:$B$2000,MATCH($B90,書籍!$A$2:$A$2000,0)),"（沒建檔）"))</f>
        <v>小鎮咖啡館</v>
      </c>
      <c r="F90" s="9" t="str">
        <f aca="false">IF($A90="","",IFERROR(INDEX(會員!$B$2:$B$2000,MATCH($A90,會員!$A$2:$A$2000,0)),"（沒建檔）"))</f>
        <v>吳雅婷</v>
      </c>
      <c r="G90" s="10" t="str">
        <f aca="false">IF($B90="","",IF($D90="","未還","已還"))</f>
        <v>已還</v>
      </c>
    </row>
    <row r="91" customFormat="false" ht="15" hidden="false" customHeight="false" outlineLevel="0" collapsed="false">
      <c r="A91" s="7" t="s">
        <v>130</v>
      </c>
      <c r="B91" s="7" t="s">
        <v>131</v>
      </c>
      <c r="C91" s="8" t="n">
        <v>45732</v>
      </c>
      <c r="D91" s="8" t="n">
        <v>45749</v>
      </c>
      <c r="E91" s="9" t="str">
        <f aca="false">IF($B91="","",IFERROR(INDEX(書籍!$B$2:$B$2000,MATCH($B91,書籍!$A$2:$A$2000,0)),"（沒建檔）"))</f>
        <v>遠方的花園</v>
      </c>
      <c r="F91" s="9" t="str">
        <f aca="false">IF($A91="","",IFERROR(INDEX(會員!$B$2:$B$2000,MATCH($A91,會員!$A$2:$A$2000,0)),"（沒建檔）"))</f>
        <v>林子涵</v>
      </c>
      <c r="G91" s="10" t="str">
        <f aca="false">IF($B91="","",IF($D91="","未還","已還"))</f>
        <v>已還</v>
      </c>
    </row>
    <row r="92" customFormat="false" ht="15" hidden="false" customHeight="false" outlineLevel="0" collapsed="false">
      <c r="A92" s="7" t="s">
        <v>68</v>
      </c>
      <c r="B92" s="7" t="s">
        <v>31</v>
      </c>
      <c r="C92" s="8" t="n">
        <v>45732</v>
      </c>
      <c r="D92" s="8" t="n">
        <v>45746</v>
      </c>
      <c r="E92" s="9" t="str">
        <f aca="false">IF($B92="","",IFERROR(INDEX(書籍!$B$2:$B$2000,MATCH($B92,書籍!$A$2:$A$2000,0)),"（沒建檔）"))</f>
        <v>沉默的鋼琴師</v>
      </c>
      <c r="F92" s="9" t="str">
        <f aca="false">IF($A92="","",IFERROR(INDEX(會員!$B$2:$B$2000,MATCH($A92,會員!$A$2:$A$2000,0)),"（沒建檔）"))</f>
        <v>賴建宏</v>
      </c>
      <c r="G92" s="10" t="str">
        <f aca="false">IF($B92="","",IF($D92="","未還","已還"))</f>
        <v>已還</v>
      </c>
    </row>
    <row r="93" customFormat="false" ht="15" hidden="false" customHeight="false" outlineLevel="0" collapsed="false">
      <c r="A93" s="7" t="s">
        <v>80</v>
      </c>
      <c r="B93" s="7" t="s">
        <v>132</v>
      </c>
      <c r="C93" s="8" t="n">
        <v>45732</v>
      </c>
      <c r="D93" s="8" t="n">
        <v>45760</v>
      </c>
      <c r="E93" s="9" t="str">
        <f aca="false">IF($B93="","",IFERROR(INDEX(書籍!$B$2:$B$2000,MATCH($B93,書籍!$A$2:$A$2000,0)),"（沒建檔）"))</f>
        <v>月球貓</v>
      </c>
      <c r="F93" s="9" t="str">
        <f aca="false">IF($A93="","",IFERROR(INDEX(會員!$B$2:$B$2000,MATCH($A93,會員!$A$2:$A$2000,0)),"（沒建檔）"))</f>
        <v>洪詠晴</v>
      </c>
      <c r="G93" s="10" t="str">
        <f aca="false">IF($B93="","",IF($D93="","未還","已還"))</f>
        <v>已還</v>
      </c>
    </row>
    <row r="94" customFormat="false" ht="15" hidden="false" customHeight="false" outlineLevel="0" collapsed="false">
      <c r="A94" s="7" t="s">
        <v>77</v>
      </c>
      <c r="B94" s="7" t="s">
        <v>41</v>
      </c>
      <c r="C94" s="8" t="n">
        <v>45733</v>
      </c>
      <c r="D94" s="8" t="n">
        <v>45739</v>
      </c>
      <c r="E94" s="9" t="str">
        <f aca="false">IF($B94="","",IFERROR(INDEX(書籍!$B$2:$B$2000,MATCH($B94,書籍!$A$2:$A$2000,0)),"（沒建檔）"))</f>
        <v>轉角夏天</v>
      </c>
      <c r="F94" s="9" t="str">
        <f aca="false">IF($A94="","",IFERROR(INDEX(會員!$B$2:$B$2000,MATCH($A94,會員!$A$2:$A$2000,0)),"（沒建檔）"))</f>
        <v>吳柏翰</v>
      </c>
      <c r="G94" s="10" t="str">
        <f aca="false">IF($B94="","",IF($D94="","未還","已還"))</f>
        <v>已還</v>
      </c>
    </row>
    <row r="95" customFormat="false" ht="15" hidden="false" customHeight="false" outlineLevel="0" collapsed="false">
      <c r="A95" s="7" t="s">
        <v>32</v>
      </c>
      <c r="B95" s="7" t="s">
        <v>133</v>
      </c>
      <c r="C95" s="8" t="n">
        <v>45733</v>
      </c>
      <c r="D95" s="8" t="n">
        <v>45738</v>
      </c>
      <c r="E95" s="9" t="str">
        <f aca="false">IF($B95="","",IFERROR(INDEX(書籍!$B$2:$B$2000,MATCH($B95,書籍!$A$2:$A$2000,0)),"（沒建檔）"))</f>
        <v>深夜的咖啡館</v>
      </c>
      <c r="F95" s="9" t="str">
        <f aca="false">IF($A95="","",IFERROR(INDEX(會員!$B$2:$B$2000,MATCH($A95,會員!$A$2:$A$2000,0)),"（沒建檔）"))</f>
        <v>李子涵</v>
      </c>
      <c r="G95" s="10" t="str">
        <f aca="false">IF($B95="","",IF($D95="","未還","已還"))</f>
        <v>已還</v>
      </c>
    </row>
    <row r="96" customFormat="false" ht="15" hidden="false" customHeight="false" outlineLevel="0" collapsed="false">
      <c r="A96" s="7" t="s">
        <v>44</v>
      </c>
      <c r="B96" s="7" t="s">
        <v>134</v>
      </c>
      <c r="C96" s="8" t="n">
        <v>45734</v>
      </c>
      <c r="D96" s="8" t="n">
        <v>45746</v>
      </c>
      <c r="E96" s="9" t="str">
        <f aca="false">IF($B96="","",IFERROR(INDEX(書籍!$B$2:$B$2000,MATCH($B96,書籍!$A$2:$A$2000,0)),"（沒建檔）"))</f>
        <v>紙上的鋼琴師</v>
      </c>
      <c r="F96" s="9" t="str">
        <f aca="false">IF($A96="","",IFERROR(INDEX(會員!$B$2:$B$2000,MATCH($A96,會員!$A$2:$A$2000,0)),"（沒建檔）"))</f>
        <v>郭柏翰</v>
      </c>
      <c r="G96" s="10" t="str">
        <f aca="false">IF($B96="","",IF($D96="","未還","已還"))</f>
        <v>已還</v>
      </c>
    </row>
    <row r="97" customFormat="false" ht="15" hidden="false" customHeight="false" outlineLevel="0" collapsed="false">
      <c r="A97" s="7" t="s">
        <v>63</v>
      </c>
      <c r="B97" s="7" t="s">
        <v>106</v>
      </c>
      <c r="C97" s="8" t="n">
        <v>45734</v>
      </c>
      <c r="D97" s="8" t="n">
        <v>45764</v>
      </c>
      <c r="E97" s="9" t="str">
        <f aca="false">IF($B97="","",IFERROR(INDEX(書籍!$B$2:$B$2000,MATCH($B97,書籍!$A$2:$A$2000,0)),"（沒建檔）"))</f>
        <v>轉角鋼琴師</v>
      </c>
      <c r="F97" s="9" t="str">
        <f aca="false">IF($A97="","",IFERROR(INDEX(會員!$B$2:$B$2000,MATCH($A97,會員!$A$2:$A$2000,0)),"（沒建檔）"))</f>
        <v>陳祐誠</v>
      </c>
      <c r="G97" s="10" t="str">
        <f aca="false">IF($B97="","",IF($D97="","未還","已還"))</f>
        <v>已還</v>
      </c>
    </row>
    <row r="98" customFormat="false" ht="15" hidden="false" customHeight="false" outlineLevel="0" collapsed="false">
      <c r="A98" s="7" t="s">
        <v>34</v>
      </c>
      <c r="B98" s="7" t="s">
        <v>135</v>
      </c>
      <c r="C98" s="8" t="n">
        <v>45735</v>
      </c>
      <c r="D98" s="8" t="n">
        <v>45741</v>
      </c>
      <c r="E98" s="9" t="str">
        <f aca="false">IF($B98="","",IFERROR(INDEX(書籍!$B$2:$B$2000,MATCH($B98,書籍!$A$2:$A$2000,0)),"（沒建檔）"))</f>
        <v>最後一個森林</v>
      </c>
      <c r="F98" s="9" t="str">
        <f aca="false">IF($A98="","",IFERROR(INDEX(會員!$B$2:$B$2000,MATCH($A98,會員!$A$2:$A$2000,0)),"（沒建檔）"))</f>
        <v>蔡彥廷</v>
      </c>
      <c r="G98" s="10" t="str">
        <f aca="false">IF($B98="","",IF($D98="","未還","已還"))</f>
        <v>已還</v>
      </c>
    </row>
    <row r="99" customFormat="false" ht="15" hidden="false" customHeight="false" outlineLevel="0" collapsed="false">
      <c r="A99" s="7" t="s">
        <v>49</v>
      </c>
      <c r="B99" s="7" t="s">
        <v>136</v>
      </c>
      <c r="C99" s="8" t="n">
        <v>45736</v>
      </c>
      <c r="D99" s="8" t="n">
        <v>45749</v>
      </c>
      <c r="E99" s="9" t="str">
        <f aca="false">IF($B99="","",IFERROR(INDEX(書籍!$B$2:$B$2000,MATCH($B99,書籍!$A$2:$A$2000,0)),"（沒建檔）"))</f>
        <v>海邊的廚房</v>
      </c>
      <c r="F99" s="9" t="str">
        <f aca="false">IF($A99="","",IFERROR(INDEX(會員!$B$2:$B$2000,MATCH($A99,會員!$A$2:$A$2000,0)),"（沒建檔）"))</f>
        <v>張宜庭</v>
      </c>
      <c r="G99" s="10" t="str">
        <f aca="false">IF($B99="","",IF($D99="","未還","已還"))</f>
        <v>已還</v>
      </c>
    </row>
    <row r="100" customFormat="false" ht="15" hidden="false" customHeight="false" outlineLevel="0" collapsed="false">
      <c r="A100" s="7" t="s">
        <v>28</v>
      </c>
      <c r="B100" s="7" t="s">
        <v>137</v>
      </c>
      <c r="C100" s="8" t="n">
        <v>45737</v>
      </c>
      <c r="D100" s="8" t="n">
        <v>45749</v>
      </c>
      <c r="E100" s="9" t="str">
        <f aca="false">IF($B100="","",IFERROR(INDEX(書籍!$B$2:$B$2000,MATCH($B100,書籍!$A$2:$A$2000,0)),"（沒建檔）"))</f>
        <v>半路上的回信</v>
      </c>
      <c r="F100" s="9" t="str">
        <f aca="false">IF($A100="","",IFERROR(INDEX(會員!$B$2:$B$2000,MATCH($A100,會員!$A$2:$A$2000,0)),"（沒建檔）"))</f>
        <v>郭妍希</v>
      </c>
      <c r="G100" s="10" t="str">
        <f aca="false">IF($B100="","",IF($D100="","未還","已還"))</f>
        <v>已還</v>
      </c>
    </row>
    <row r="101" customFormat="false" ht="15" hidden="false" customHeight="false" outlineLevel="0" collapsed="false">
      <c r="A101" s="7" t="s">
        <v>30</v>
      </c>
      <c r="B101" s="7" t="s">
        <v>138</v>
      </c>
      <c r="C101" s="8" t="n">
        <v>45737</v>
      </c>
      <c r="D101" s="8" t="n">
        <v>45740</v>
      </c>
      <c r="E101" s="9" t="str">
        <f aca="false">IF($B101="","",IFERROR(INDEX(書籍!$B$2:$B$2000,MATCH($B101,書籍!$A$2:$A$2000,0)),"（沒建檔）"))</f>
        <v>沉默的鐘樓</v>
      </c>
      <c r="F101" s="9" t="str">
        <f aca="false">IF($A101="","",IFERROR(INDEX(會員!$B$2:$B$2000,MATCH($A101,會員!$A$2:$A$2000,0)),"（沒建檔）"))</f>
        <v>吳芃穎</v>
      </c>
      <c r="G101" s="10" t="str">
        <f aca="false">IF($B101="","",IF($D101="","未還","已還"))</f>
        <v>已還</v>
      </c>
    </row>
    <row r="102" customFormat="false" ht="15" hidden="false" customHeight="false" outlineLevel="0" collapsed="false">
      <c r="A102" s="7" t="s">
        <v>130</v>
      </c>
      <c r="B102" s="7" t="s">
        <v>139</v>
      </c>
      <c r="C102" s="8" t="n">
        <v>45737</v>
      </c>
      <c r="D102" s="8" t="n">
        <v>45743</v>
      </c>
      <c r="E102" s="9" t="str">
        <f aca="false">IF($B102="","",IFERROR(INDEX(書籍!$B$2:$B$2000,MATCH($B102,書籍!$A$2:$A$2000,0)),"（沒建檔）"))</f>
        <v>十二個島</v>
      </c>
      <c r="F102" s="9" t="str">
        <f aca="false">IF($A102="","",IFERROR(INDEX(會員!$B$2:$B$2000,MATCH($A102,會員!$A$2:$A$2000,0)),"（沒建檔）"))</f>
        <v>林子涵</v>
      </c>
      <c r="G102" s="10" t="str">
        <f aca="false">IF($B102="","",IF($D102="","未還","已還"))</f>
        <v>已還</v>
      </c>
    </row>
    <row r="103" customFormat="false" ht="15" hidden="false" customHeight="false" outlineLevel="0" collapsed="false">
      <c r="A103" s="7" t="s">
        <v>30</v>
      </c>
      <c r="B103" s="7" t="s">
        <v>48</v>
      </c>
      <c r="C103" s="8" t="n">
        <v>45738</v>
      </c>
      <c r="D103" s="8" t="n">
        <v>45760</v>
      </c>
      <c r="E103" s="9" t="str">
        <f aca="false">IF($B103="","",IFERROR(INDEX(書籍!$B$2:$B$2000,MATCH($B103,書籍!$A$2:$A$2000,0)),"（沒建檔）"))</f>
        <v>月球燈塔</v>
      </c>
      <c r="F103" s="9" t="str">
        <f aca="false">IF($A103="","",IFERROR(INDEX(會員!$B$2:$B$2000,MATCH($A103,會員!$A$2:$A$2000,0)),"（沒建檔）"))</f>
        <v>吳芃穎</v>
      </c>
      <c r="G103" s="10" t="str">
        <f aca="false">IF($B103="","",IF($D103="","未還","已還"))</f>
        <v>已還</v>
      </c>
    </row>
    <row r="104" customFormat="false" ht="15" hidden="false" customHeight="false" outlineLevel="0" collapsed="false">
      <c r="A104" s="7" t="s">
        <v>95</v>
      </c>
      <c r="B104" s="7" t="s">
        <v>140</v>
      </c>
      <c r="C104" s="8" t="n">
        <v>45738</v>
      </c>
      <c r="D104" s="8" t="n">
        <v>45759</v>
      </c>
      <c r="E104" s="9" t="str">
        <f aca="false">IF($B104="","",IFERROR(INDEX(書籍!$B$2:$B$2000,MATCH($B104,書籍!$A$2:$A$2000,0)),"（沒建檔）"))</f>
        <v>紙上的手記</v>
      </c>
      <c r="F104" s="9" t="str">
        <f aca="false">IF($A104="","",IFERROR(INDEX(會員!$B$2:$B$2000,MATCH($A104,會員!$A$2:$A$2000,0)),"（沒建檔）"))</f>
        <v>邱承翰</v>
      </c>
      <c r="G104" s="10" t="str">
        <f aca="false">IF($B104="","",IF($D104="","未還","已還"))</f>
        <v>已還</v>
      </c>
    </row>
    <row r="105" customFormat="false" ht="15" hidden="false" customHeight="false" outlineLevel="0" collapsed="false">
      <c r="A105" s="7" t="s">
        <v>116</v>
      </c>
      <c r="B105" s="7" t="s">
        <v>141</v>
      </c>
      <c r="C105" s="8" t="n">
        <v>45738</v>
      </c>
      <c r="D105" s="8" t="n">
        <v>45749</v>
      </c>
      <c r="E105" s="9" t="str">
        <f aca="false">IF($B105="","",IFERROR(INDEX(書籍!$B$2:$B$2000,MATCH($B105,書籍!$A$2:$A$2000,0)),"（沒建檔）"))</f>
        <v>十二個書店</v>
      </c>
      <c r="F105" s="9" t="str">
        <f aca="false">IF($A105="","",IFERROR(INDEX(會員!$B$2:$B$2000,MATCH($A105,會員!$A$2:$A$2000,0)),"（沒建檔）"))</f>
        <v>郭詠晴</v>
      </c>
      <c r="G105" s="10" t="str">
        <f aca="false">IF($B105="","",IF($D105="","未還","已還"))</f>
        <v>已還</v>
      </c>
    </row>
    <row r="106" customFormat="false" ht="15" hidden="false" customHeight="false" outlineLevel="0" collapsed="false">
      <c r="A106" s="7" t="s">
        <v>24</v>
      </c>
      <c r="B106" s="7" t="s">
        <v>142</v>
      </c>
      <c r="C106" s="8" t="n">
        <v>45738</v>
      </c>
      <c r="D106" s="8" t="n">
        <v>45759</v>
      </c>
      <c r="E106" s="9" t="str">
        <f aca="false">IF($B106="","",IFERROR(INDEX(書籍!$B$2:$B$2000,MATCH($B106,書籍!$A$2:$A$2000,0)),"（沒建檔）"))</f>
        <v>深夜的河</v>
      </c>
      <c r="F106" s="9" t="str">
        <f aca="false">IF($A106="","",IFERROR(INDEX(會員!$B$2:$B$2000,MATCH($A106,會員!$A$2:$A$2000,0)),"（沒建檔）"))</f>
        <v>吳雅婷</v>
      </c>
      <c r="G106" s="10" t="str">
        <f aca="false">IF($B106="","",IF($D106="","未還","已還"))</f>
        <v>已還</v>
      </c>
    </row>
    <row r="107" customFormat="false" ht="15" hidden="false" customHeight="false" outlineLevel="0" collapsed="false">
      <c r="A107" s="7" t="s">
        <v>68</v>
      </c>
      <c r="B107" s="7" t="s">
        <v>92</v>
      </c>
      <c r="C107" s="8" t="n">
        <v>45739</v>
      </c>
      <c r="D107" s="8" t="n">
        <v>45746</v>
      </c>
      <c r="E107" s="9" t="str">
        <f aca="false">IF($B107="","",IFERROR(INDEX(書籍!$B$2:$B$2000,MATCH($B107,書籍!$A$2:$A$2000,0)),"（沒建檔）"))</f>
        <v>藍色花園</v>
      </c>
      <c r="F107" s="9" t="str">
        <f aca="false">IF($A107="","",IFERROR(INDEX(會員!$B$2:$B$2000,MATCH($A107,會員!$A$2:$A$2000,0)),"（沒建檔）"))</f>
        <v>賴建宏</v>
      </c>
      <c r="G107" s="10" t="str">
        <f aca="false">IF($B107="","",IF($D107="","未還","已還"))</f>
        <v>已還</v>
      </c>
    </row>
    <row r="108" customFormat="false" ht="15" hidden="false" customHeight="false" outlineLevel="0" collapsed="false">
      <c r="A108" s="7" t="s">
        <v>63</v>
      </c>
      <c r="B108" s="7" t="s">
        <v>143</v>
      </c>
      <c r="C108" s="8" t="n">
        <v>45740</v>
      </c>
      <c r="D108" s="8" t="n">
        <v>45741</v>
      </c>
      <c r="E108" s="9" t="str">
        <f aca="false">IF($B108="","",IFERROR(INDEX(書籍!$B$2:$B$2000,MATCH($B108,書籍!$A$2:$A$2000,0)),"（沒建檔）"))</f>
        <v>月球花園</v>
      </c>
      <c r="F108" s="9" t="str">
        <f aca="false">IF($A108="","",IFERROR(INDEX(會員!$B$2:$B$2000,MATCH($A108,會員!$A$2:$A$2000,0)),"（沒建檔）"))</f>
        <v>陳祐誠</v>
      </c>
      <c r="G108" s="10" t="str">
        <f aca="false">IF($B108="","",IF($D108="","未還","已還"))</f>
        <v>已還</v>
      </c>
    </row>
    <row r="109" customFormat="false" ht="15" hidden="false" customHeight="false" outlineLevel="0" collapsed="false">
      <c r="A109" s="7" t="s">
        <v>99</v>
      </c>
      <c r="B109" s="7" t="s">
        <v>144</v>
      </c>
      <c r="C109" s="8" t="n">
        <v>45740</v>
      </c>
      <c r="D109" s="8" t="n">
        <v>45741</v>
      </c>
      <c r="E109" s="9" t="str">
        <f aca="false">IF($B109="","",IFERROR(INDEX(書籍!$B$2:$B$2000,MATCH($B109,書籍!$A$2:$A$2000,0)),"（沒建檔）"))</f>
        <v>小鎮偵探</v>
      </c>
      <c r="F109" s="9" t="str">
        <f aca="false">IF($A109="","",IFERROR(INDEX(會員!$B$2:$B$2000,MATCH($A109,會員!$A$2:$A$2000,0)),"（沒建檔）"))</f>
        <v>王芷萱</v>
      </c>
      <c r="G109" s="10" t="str">
        <f aca="false">IF($B109="","",IF($D109="","未還","已還"))</f>
        <v>已還</v>
      </c>
    </row>
    <row r="110" customFormat="false" ht="15" hidden="false" customHeight="false" outlineLevel="0" collapsed="false">
      <c r="A110" s="7" t="s">
        <v>122</v>
      </c>
      <c r="B110" s="7" t="s">
        <v>145</v>
      </c>
      <c r="C110" s="8" t="n">
        <v>45741</v>
      </c>
      <c r="D110" s="8" t="n">
        <v>45743</v>
      </c>
      <c r="E110" s="9" t="str">
        <f aca="false">IF($B110="","",IFERROR(INDEX(書籍!$B$2:$B$2000,MATCH($B110,書籍!$A$2:$A$2000,0)),"（沒建檔）"))</f>
        <v>地下室地圖</v>
      </c>
      <c r="F110" s="9" t="str">
        <f aca="false">IF($A110="","",IFERROR(INDEX(會員!$B$2:$B$2000,MATCH($A110,會員!$A$2:$A$2000,0)),"（沒建檔）"))</f>
        <v>周彥廷</v>
      </c>
      <c r="G110" s="10" t="str">
        <f aca="false">IF($B110="","",IF($D110="","未還","已還"))</f>
        <v>已還</v>
      </c>
    </row>
    <row r="111" customFormat="false" ht="15" hidden="false" customHeight="false" outlineLevel="0" collapsed="false">
      <c r="A111" s="7" t="s">
        <v>63</v>
      </c>
      <c r="B111" s="7" t="s">
        <v>146</v>
      </c>
      <c r="C111" s="8" t="n">
        <v>45742</v>
      </c>
      <c r="D111" s="8" t="n">
        <v>45757</v>
      </c>
      <c r="E111" s="9" t="str">
        <f aca="false">IF($B111="","",IFERROR(INDEX(書籍!$B$2:$B$2000,MATCH($B111,書籍!$A$2:$A$2000,0)),"（沒建檔）"))</f>
        <v>漫長的咖啡館</v>
      </c>
      <c r="F111" s="9" t="str">
        <f aca="false">IF($A111="","",IFERROR(INDEX(會員!$B$2:$B$2000,MATCH($A111,會員!$A$2:$A$2000,0)),"（沒建檔）"))</f>
        <v>陳祐誠</v>
      </c>
      <c r="G111" s="10" t="str">
        <f aca="false">IF($B111="","",IF($D111="","未還","已還"))</f>
        <v>已還</v>
      </c>
    </row>
    <row r="112" customFormat="false" ht="15" hidden="false" customHeight="false" outlineLevel="0" collapsed="false">
      <c r="A112" s="7" t="s">
        <v>63</v>
      </c>
      <c r="B112" s="7" t="s">
        <v>147</v>
      </c>
      <c r="C112" s="8" t="n">
        <v>45742</v>
      </c>
      <c r="D112" s="8" t="n">
        <v>45772</v>
      </c>
      <c r="E112" s="9" t="str">
        <f aca="false">IF($B112="","",IFERROR(INDEX(書籍!$B$2:$B$2000,MATCH($B112,書籍!$A$2:$A$2000,0)),"（沒建檔）"))</f>
        <v>會說話的手記</v>
      </c>
      <c r="F112" s="9" t="str">
        <f aca="false">IF($A112="","",IFERROR(INDEX(會員!$B$2:$B$2000,MATCH($A112,會員!$A$2:$A$2000,0)),"（沒建檔）"))</f>
        <v>陳祐誠</v>
      </c>
      <c r="G112" s="10" t="str">
        <f aca="false">IF($B112="","",IF($D112="","未還","已還"))</f>
        <v>已還</v>
      </c>
    </row>
    <row r="113" customFormat="false" ht="15" hidden="false" customHeight="false" outlineLevel="0" collapsed="false">
      <c r="A113" s="7" t="s">
        <v>56</v>
      </c>
      <c r="B113" s="7" t="s">
        <v>102</v>
      </c>
      <c r="C113" s="8" t="n">
        <v>45743</v>
      </c>
      <c r="D113" s="8" t="n">
        <v>45759</v>
      </c>
      <c r="E113" s="9" t="str">
        <f aca="false">IF($B113="","",IFERROR(INDEX(書籍!$B$2:$B$2000,MATCH($B113,書籍!$A$2:$A$2000,0)),"（沒建檔）"))</f>
        <v>最後一個偵探</v>
      </c>
      <c r="F113" s="9" t="str">
        <f aca="false">IF($A113="","",IFERROR(INDEX(會員!$B$2:$B$2000,MATCH($A113,會員!$A$2:$A$2000,0)),"（沒建檔）"))</f>
        <v>李季軒</v>
      </c>
      <c r="G113" s="10" t="str">
        <f aca="false">IF($B113="","",IF($D113="","未還","已還"))</f>
        <v>已還</v>
      </c>
    </row>
    <row r="114" customFormat="false" ht="15" hidden="false" customHeight="false" outlineLevel="0" collapsed="false">
      <c r="A114" s="7" t="s">
        <v>34</v>
      </c>
      <c r="B114" s="7" t="s">
        <v>135</v>
      </c>
      <c r="C114" s="8" t="n">
        <v>45743</v>
      </c>
      <c r="D114" s="8" t="n">
        <v>45756</v>
      </c>
      <c r="E114" s="9" t="str">
        <f aca="false">IF($B114="","",IFERROR(INDEX(書籍!$B$2:$B$2000,MATCH($B114,書籍!$A$2:$A$2000,0)),"（沒建檔）"))</f>
        <v>最後一個森林</v>
      </c>
      <c r="F114" s="9" t="str">
        <f aca="false">IF($A114="","",IFERROR(INDEX(會員!$B$2:$B$2000,MATCH($A114,會員!$A$2:$A$2000,0)),"（沒建檔）"))</f>
        <v>蔡彥廷</v>
      </c>
      <c r="G114" s="10" t="str">
        <f aca="false">IF($B114="","",IF($D114="","未還","已還"))</f>
        <v>已還</v>
      </c>
    </row>
    <row r="115" customFormat="false" ht="15" hidden="false" customHeight="false" outlineLevel="0" collapsed="false">
      <c r="A115" s="7" t="s">
        <v>68</v>
      </c>
      <c r="B115" s="7" t="s">
        <v>148</v>
      </c>
      <c r="C115" s="8" t="n">
        <v>45744</v>
      </c>
      <c r="D115" s="8" t="n">
        <v>45752</v>
      </c>
      <c r="E115" s="9" t="str">
        <f aca="false">IF($B115="","",IFERROR(INDEX(書籍!$B$2:$B$2000,MATCH($B115,書籍!$A$2:$A$2000,0)),"（沒建檔）"))</f>
        <v>漫長的鋼琴師</v>
      </c>
      <c r="F115" s="9" t="str">
        <f aca="false">IF($A115="","",IFERROR(INDEX(會員!$B$2:$B$2000,MATCH($A115,會員!$A$2:$A$2000,0)),"（沒建檔）"))</f>
        <v>賴建宏</v>
      </c>
      <c r="G115" s="10" t="str">
        <f aca="false">IF($B115="","",IF($D115="","未還","已還"))</f>
        <v>已還</v>
      </c>
    </row>
    <row r="116" customFormat="false" ht="15" hidden="false" customHeight="false" outlineLevel="0" collapsed="false">
      <c r="A116" s="7" t="s">
        <v>93</v>
      </c>
      <c r="B116" s="7" t="s">
        <v>149</v>
      </c>
      <c r="C116" s="8" t="n">
        <v>45744</v>
      </c>
      <c r="D116" s="8" t="n">
        <v>45753</v>
      </c>
      <c r="E116" s="9" t="str">
        <f aca="false">IF($B116="","",IFERROR(INDEX(書籍!$B$2:$B$2000,MATCH($B116,書籍!$A$2:$A$2000,0)),"（沒建檔）"))</f>
        <v>會說話的貓</v>
      </c>
      <c r="F116" s="9" t="str">
        <f aca="false">IF($A116="","",IFERROR(INDEX(會員!$B$2:$B$2000,MATCH($A116,會員!$A$2:$A$2000,0)),"（沒建檔）"))</f>
        <v>邱沐恩</v>
      </c>
      <c r="G116" s="10" t="str">
        <f aca="false">IF($B116="","",IF($D116="","未還","已還"))</f>
        <v>已還</v>
      </c>
    </row>
    <row r="117" customFormat="false" ht="15" hidden="false" customHeight="false" outlineLevel="0" collapsed="false">
      <c r="A117" s="7" t="s">
        <v>51</v>
      </c>
      <c r="B117" s="7" t="s">
        <v>103</v>
      </c>
      <c r="C117" s="8" t="n">
        <v>45745</v>
      </c>
      <c r="D117" s="8" t="n">
        <v>45765</v>
      </c>
      <c r="E117" s="9" t="str">
        <f aca="false">IF($B117="","",IFERROR(INDEX(書籍!$B$2:$B$2000,MATCH($B117,書籍!$A$2:$A$2000,0)),"（沒建檔）"))</f>
        <v>藍色約定</v>
      </c>
      <c r="F117" s="9" t="str">
        <f aca="false">IF($A117="","",IFERROR(INDEX(會員!$B$2:$B$2000,MATCH($A117,會員!$A$2:$A$2000,0)),"（沒建檔）"))</f>
        <v>林子涵</v>
      </c>
      <c r="G117" s="10" t="str">
        <f aca="false">IF($B117="","",IF($D117="","未還","已還"))</f>
        <v>已還</v>
      </c>
    </row>
    <row r="118" customFormat="false" ht="15" hidden="false" customHeight="false" outlineLevel="0" collapsed="false">
      <c r="A118" s="7" t="s">
        <v>63</v>
      </c>
      <c r="B118" s="7" t="s">
        <v>150</v>
      </c>
      <c r="C118" s="8" t="n">
        <v>45745</v>
      </c>
      <c r="D118" s="8" t="n">
        <v>45758</v>
      </c>
      <c r="E118" s="9" t="str">
        <f aca="false">IF($B118="","",IFERROR(INDEX(書籍!$B$2:$B$2000,MATCH($B118,書籍!$A$2:$A$2000,0)),"（沒建檔）"))</f>
        <v>第七號地圖</v>
      </c>
      <c r="F118" s="9" t="str">
        <f aca="false">IF($A118="","",IFERROR(INDEX(會員!$B$2:$B$2000,MATCH($A118,會員!$A$2:$A$2000,0)),"（沒建檔）"))</f>
        <v>陳祐誠</v>
      </c>
      <c r="G118" s="10" t="str">
        <f aca="false">IF($B118="","",IF($D118="","未還","已還"))</f>
        <v>已還</v>
      </c>
    </row>
    <row r="119" customFormat="false" ht="15" hidden="false" customHeight="false" outlineLevel="0" collapsed="false">
      <c r="A119" s="7" t="s">
        <v>116</v>
      </c>
      <c r="B119" s="7" t="s">
        <v>33</v>
      </c>
      <c r="C119" s="8" t="n">
        <v>45745</v>
      </c>
      <c r="D119" s="8" t="n">
        <v>45750</v>
      </c>
      <c r="E119" s="9" t="str">
        <f aca="false">IF($B119="","",IFERROR(INDEX(書籍!$B$2:$B$2000,MATCH($B119,書籍!$A$2:$A$2000,0)),"（沒建檔）"))</f>
        <v>海邊的旅人</v>
      </c>
      <c r="F119" s="9" t="str">
        <f aca="false">IF($A119="","",IFERROR(INDEX(會員!$B$2:$B$2000,MATCH($A119,會員!$A$2:$A$2000,0)),"（沒建檔）"))</f>
        <v>郭詠晴</v>
      </c>
      <c r="G119" s="10" t="str">
        <f aca="false">IF($B119="","",IF($D119="","未還","已還"))</f>
        <v>已還</v>
      </c>
    </row>
    <row r="120" customFormat="false" ht="15" hidden="false" customHeight="false" outlineLevel="0" collapsed="false">
      <c r="A120" s="7" t="s">
        <v>46</v>
      </c>
      <c r="B120" s="7" t="s">
        <v>126</v>
      </c>
      <c r="C120" s="8" t="n">
        <v>45745</v>
      </c>
      <c r="D120" s="8" t="n">
        <v>45775</v>
      </c>
      <c r="E120" s="9" t="str">
        <f aca="false">IF($B120="","",IFERROR(INDEX(書籍!$B$2:$B$2000,MATCH($B120,書籍!$A$2:$A$2000,0)),"（沒建檔）"))</f>
        <v>地下室列車</v>
      </c>
      <c r="F120" s="9" t="str">
        <f aca="false">IF($A120="","",IFERROR(INDEX(會員!$B$2:$B$2000,MATCH($A120,會員!$A$2:$A$2000,0)),"（沒建檔）"))</f>
        <v>郭思妤</v>
      </c>
      <c r="G120" s="10" t="str">
        <f aca="false">IF($B120="","",IF($D120="","未還","已還"))</f>
        <v>已還</v>
      </c>
    </row>
    <row r="121" customFormat="false" ht="15" hidden="false" customHeight="false" outlineLevel="0" collapsed="false">
      <c r="A121" s="7" t="s">
        <v>58</v>
      </c>
      <c r="B121" s="7" t="s">
        <v>151</v>
      </c>
      <c r="C121" s="8" t="n">
        <v>45746</v>
      </c>
      <c r="D121" s="8" t="n">
        <v>45756</v>
      </c>
      <c r="E121" s="9" t="str">
        <f aca="false">IF($B121="","",IFERROR(INDEX(書籍!$B$2:$B$2000,MATCH($B121,書籍!$A$2:$A$2000,0)),"（沒建檔）"))</f>
        <v>微小的祕密</v>
      </c>
      <c r="F121" s="9" t="str">
        <f aca="false">IF($A121="","",IFERROR(INDEX(會員!$B$2:$B$2000,MATCH($A121,會員!$A$2:$A$2000,0)),"（沒建檔）"))</f>
        <v>賴思妤</v>
      </c>
      <c r="G121" s="10" t="str">
        <f aca="false">IF($B121="","",IF($D121="","未還","已還"))</f>
        <v>已還</v>
      </c>
    </row>
    <row r="122" customFormat="false" ht="15" hidden="false" customHeight="false" outlineLevel="0" collapsed="false">
      <c r="A122" s="7" t="s">
        <v>40</v>
      </c>
      <c r="B122" s="7" t="s">
        <v>152</v>
      </c>
      <c r="C122" s="8" t="n">
        <v>45746</v>
      </c>
      <c r="D122" s="8" t="n">
        <v>45763</v>
      </c>
      <c r="E122" s="9" t="str">
        <f aca="false">IF($B122="","",IFERROR(INDEX(書籍!$B$2:$B$2000,MATCH($B122,書籍!$A$2:$A$2000,0)),"（沒建檔）"))</f>
        <v>看不見的鋼琴師</v>
      </c>
      <c r="F122" s="9" t="str">
        <f aca="false">IF($A122="","",IFERROR(INDEX(會員!$B$2:$B$2000,MATCH($A122,會員!$A$2:$A$2000,0)),"（沒建檔）"))</f>
        <v>賴佩珊</v>
      </c>
      <c r="G122" s="10" t="str">
        <f aca="false">IF($B122="","",IF($D122="","未還","已還"))</f>
        <v>已還</v>
      </c>
    </row>
    <row r="123" customFormat="false" ht="15" hidden="false" customHeight="false" outlineLevel="0" collapsed="false">
      <c r="A123" s="7" t="s">
        <v>28</v>
      </c>
      <c r="B123" s="7" t="s">
        <v>153</v>
      </c>
      <c r="C123" s="8" t="n">
        <v>45747</v>
      </c>
      <c r="D123" s="8" t="n">
        <v>45769</v>
      </c>
      <c r="E123" s="9" t="str">
        <f aca="false">IF($B123="","",IFERROR(INDEX(書籍!$B$2:$B$2000,MATCH($B123,書籍!$A$2:$A$2000,0)),"（沒建檔）"))</f>
        <v>地下室夏天</v>
      </c>
      <c r="F123" s="9" t="str">
        <f aca="false">IF($A123="","",IFERROR(INDEX(會員!$B$2:$B$2000,MATCH($A123,會員!$A$2:$A$2000,0)),"（沒建檔）"))</f>
        <v>郭妍希</v>
      </c>
      <c r="G123" s="10" t="str">
        <f aca="false">IF($B123="","",IF($D123="","未還","已還"))</f>
        <v>已還</v>
      </c>
    </row>
    <row r="124" customFormat="false" ht="15" hidden="false" customHeight="false" outlineLevel="0" collapsed="false">
      <c r="A124" s="7" t="s">
        <v>154</v>
      </c>
      <c r="B124" s="7" t="s">
        <v>124</v>
      </c>
      <c r="C124" s="8" t="n">
        <v>45747</v>
      </c>
      <c r="D124" s="8" t="n">
        <v>45761</v>
      </c>
      <c r="E124" s="9" t="str">
        <f aca="false">IF($B124="","",IFERROR(INDEX(書籍!$B$2:$B$2000,MATCH($B124,書籍!$A$2:$A$2000,0)),"（沒建檔）"))</f>
        <v>深夜的燈塔</v>
      </c>
      <c r="F124" s="9" t="str">
        <f aca="false">IF($A124="","",IFERROR(INDEX(會員!$B$2:$B$2000,MATCH($A124,會員!$A$2:$A$2000,0)),"（沒建檔）"))</f>
        <v>陳雅婷</v>
      </c>
      <c r="G124" s="10" t="str">
        <f aca="false">IF($B124="","",IF($D124="","未還","已還"))</f>
        <v>已還</v>
      </c>
    </row>
    <row r="125" customFormat="false" ht="15" hidden="false" customHeight="false" outlineLevel="0" collapsed="false">
      <c r="A125" s="7" t="s">
        <v>97</v>
      </c>
      <c r="B125" s="7" t="s">
        <v>155</v>
      </c>
      <c r="C125" s="8" t="n">
        <v>45747</v>
      </c>
      <c r="D125" s="8" t="n">
        <v>45760</v>
      </c>
      <c r="E125" s="9" t="str">
        <f aca="false">IF($B125="","",IFERROR(INDEX(書籍!$B$2:$B$2000,MATCH($B125,書籍!$A$2:$A$2000,0)),"（沒建檔）"))</f>
        <v>海邊的季節</v>
      </c>
      <c r="F125" s="9" t="str">
        <f aca="false">IF($A125="","",IFERROR(INDEX(會員!$B$2:$B$2000,MATCH($A125,會員!$A$2:$A$2000,0)),"（沒建檔）"))</f>
        <v>廖品妍</v>
      </c>
      <c r="G125" s="10" t="str">
        <f aca="false">IF($B125="","",IF($D125="","未還","已還"))</f>
        <v>已還</v>
      </c>
    </row>
    <row r="126" customFormat="false" ht="15" hidden="false" customHeight="false" outlineLevel="0" collapsed="false">
      <c r="A126" s="7" t="s">
        <v>56</v>
      </c>
      <c r="B126" s="7" t="s">
        <v>156</v>
      </c>
      <c r="C126" s="8" t="n">
        <v>45748</v>
      </c>
      <c r="D126" s="8" t="n">
        <v>45757</v>
      </c>
      <c r="E126" s="9" t="str">
        <f aca="false">IF($B126="","",IFERROR(INDEX(書籍!$B$2:$B$2000,MATCH($B126,書籍!$A$2:$A$2000,0)),"（沒建檔）"))</f>
        <v>小鎮河</v>
      </c>
      <c r="F126" s="9" t="str">
        <f aca="false">IF($A126="","",IFERROR(INDEX(會員!$B$2:$B$2000,MATCH($A126,會員!$A$2:$A$2000,0)),"（沒建檔）"))</f>
        <v>李季軒</v>
      </c>
      <c r="G126" s="10" t="str">
        <f aca="false">IF($B126="","",IF($D126="","未還","已還"))</f>
        <v>已還</v>
      </c>
    </row>
    <row r="127" customFormat="false" ht="15" hidden="false" customHeight="false" outlineLevel="0" collapsed="false">
      <c r="A127" s="7" t="s">
        <v>51</v>
      </c>
      <c r="B127" s="7" t="s">
        <v>157</v>
      </c>
      <c r="C127" s="8" t="n">
        <v>45749</v>
      </c>
      <c r="D127" s="8" t="n">
        <v>45777</v>
      </c>
      <c r="E127" s="9" t="str">
        <f aca="false">IF($B127="","",IFERROR(INDEX(書籍!$B$2:$B$2000,MATCH($B127,書籍!$A$2:$A$2000,0)),"（沒建檔）"))</f>
        <v>藍色季節</v>
      </c>
      <c r="F127" s="9" t="str">
        <f aca="false">IF($A127="","",IFERROR(INDEX(會員!$B$2:$B$2000,MATCH($A127,會員!$A$2:$A$2000,0)),"（沒建檔）"))</f>
        <v>林子涵</v>
      </c>
      <c r="G127" s="10" t="str">
        <f aca="false">IF($B127="","",IF($D127="","未還","已還"))</f>
        <v>已還</v>
      </c>
    </row>
    <row r="128" customFormat="false" ht="15" hidden="false" customHeight="false" outlineLevel="0" collapsed="false">
      <c r="A128" s="7" t="s">
        <v>37</v>
      </c>
      <c r="B128" s="7" t="s">
        <v>52</v>
      </c>
      <c r="C128" s="8" t="n">
        <v>45749</v>
      </c>
      <c r="D128" s="8" t="n">
        <v>45751</v>
      </c>
      <c r="E128" s="9" t="str">
        <f aca="false">IF($B128="","",IFERROR(INDEX(書籍!$B$2:$B$2000,MATCH($B128,書籍!$A$2:$A$2000,0)),"（沒建檔）"))</f>
        <v>十二個河</v>
      </c>
      <c r="F128" s="9" t="str">
        <f aca="false">IF($A128="","",IFERROR(INDEX(會員!$B$2:$B$2000,MATCH($A128,會員!$A$2:$A$2000,0)),"（沒建檔）"))</f>
        <v>郭芷萱</v>
      </c>
      <c r="G128" s="10" t="str">
        <f aca="false">IF($B128="","",IF($D128="","未還","已還"))</f>
        <v>已還</v>
      </c>
    </row>
    <row r="129" customFormat="false" ht="15" hidden="false" customHeight="false" outlineLevel="0" collapsed="false">
      <c r="A129" s="7" t="s">
        <v>54</v>
      </c>
      <c r="B129" s="7" t="s">
        <v>158</v>
      </c>
      <c r="C129" s="8" t="n">
        <v>45750</v>
      </c>
      <c r="D129" s="8" t="n">
        <v>45767</v>
      </c>
      <c r="E129" s="9" t="str">
        <f aca="false">IF($B129="","",IFERROR(INDEX(書籍!$B$2:$B$2000,MATCH($B129,書籍!$A$2:$A$2000,0)),"（沒建檔）"))</f>
        <v>遺失的鋼琴師</v>
      </c>
      <c r="F129" s="9" t="str">
        <f aca="false">IF($A129="","",IFERROR(INDEX(會員!$B$2:$B$2000,MATCH($A129,會員!$A$2:$A$2000,0)),"（沒建檔）"))</f>
        <v>洪季軒</v>
      </c>
      <c r="G129" s="10" t="str">
        <f aca="false">IF($B129="","",IF($D129="","未還","已還"))</f>
        <v>已還</v>
      </c>
    </row>
    <row r="130" customFormat="false" ht="15" hidden="false" customHeight="false" outlineLevel="0" collapsed="false">
      <c r="A130" s="7" t="s">
        <v>113</v>
      </c>
      <c r="B130" s="7" t="s">
        <v>159</v>
      </c>
      <c r="C130" s="8" t="n">
        <v>45750</v>
      </c>
      <c r="D130" s="8" t="n">
        <v>45767</v>
      </c>
      <c r="E130" s="9" t="str">
        <f aca="false">IF($B130="","",IFERROR(INDEX(書籍!$B$2:$B$2000,MATCH($B130,書籍!$A$2:$A$2000,0)),"（沒建檔）"))</f>
        <v>半路上的郵差</v>
      </c>
      <c r="F130" s="9" t="str">
        <f aca="false">IF($A130="","",IFERROR(INDEX(會員!$B$2:$B$2000,MATCH($A130,會員!$A$2:$A$2000,0)),"（沒建檔）"))</f>
        <v>謝子涵</v>
      </c>
      <c r="G130" s="10" t="str">
        <f aca="false">IF($B130="","",IF($D130="","未還","已還"))</f>
        <v>已還</v>
      </c>
    </row>
    <row r="131" customFormat="false" ht="15" hidden="false" customHeight="false" outlineLevel="0" collapsed="false">
      <c r="A131" s="7" t="s">
        <v>24</v>
      </c>
      <c r="B131" s="7" t="s">
        <v>67</v>
      </c>
      <c r="C131" s="8" t="n">
        <v>45751</v>
      </c>
      <c r="D131" s="8" t="n">
        <v>45753</v>
      </c>
      <c r="E131" s="9" t="str">
        <f aca="false">IF($B131="","",IFERROR(INDEX(書籍!$B$2:$B$2000,MATCH($B131,書籍!$A$2:$A$2000,0)),"（沒建檔）"))</f>
        <v>最後一個祕密</v>
      </c>
      <c r="F131" s="9" t="str">
        <f aca="false">IF($A131="","",IFERROR(INDEX(會員!$B$2:$B$2000,MATCH($A131,會員!$A$2:$A$2000,0)),"（沒建檔）"))</f>
        <v>吳雅婷</v>
      </c>
      <c r="G131" s="10" t="str">
        <f aca="false">IF($B131="","",IF($D131="","未還","已還"))</f>
        <v>已還</v>
      </c>
    </row>
    <row r="132" customFormat="false" ht="15" hidden="false" customHeight="false" outlineLevel="0" collapsed="false">
      <c r="A132" s="7" t="s">
        <v>54</v>
      </c>
      <c r="B132" s="7" t="s">
        <v>108</v>
      </c>
      <c r="C132" s="8" t="n">
        <v>45751</v>
      </c>
      <c r="D132" s="8" t="n">
        <v>45774</v>
      </c>
      <c r="E132" s="9" t="str">
        <f aca="false">IF($B132="","",IFERROR(INDEX(書籍!$B$2:$B$2000,MATCH($B132,書籍!$A$2:$A$2000,0)),"（沒建檔）"))</f>
        <v>兩個人的森林</v>
      </c>
      <c r="F132" s="9" t="str">
        <f aca="false">IF($A132="","",IFERROR(INDEX(會員!$B$2:$B$2000,MATCH($A132,會員!$A$2:$A$2000,0)),"（沒建檔）"))</f>
        <v>洪季軒</v>
      </c>
      <c r="G132" s="10" t="str">
        <f aca="false">IF($B132="","",IF($D132="","未還","已還"))</f>
        <v>已還</v>
      </c>
    </row>
    <row r="133" customFormat="false" ht="15" hidden="false" customHeight="false" outlineLevel="0" collapsed="false">
      <c r="A133" s="7" t="s">
        <v>80</v>
      </c>
      <c r="B133" s="7" t="s">
        <v>86</v>
      </c>
      <c r="C133" s="8" t="n">
        <v>45752</v>
      </c>
      <c r="D133" s="8" t="n">
        <v>45764</v>
      </c>
      <c r="E133" s="9" t="str">
        <f aca="false">IF($B133="","",IFERROR(INDEX(書籍!$B$2:$B$2000,MATCH($B133,書籍!$A$2:$A$2000,0)),"（沒建檔）"))</f>
        <v>遺失的地圖</v>
      </c>
      <c r="F133" s="9" t="str">
        <f aca="false">IF($A133="","",IFERROR(INDEX(會員!$B$2:$B$2000,MATCH($A133,會員!$A$2:$A$2000,0)),"（沒建檔）"))</f>
        <v>洪詠晴</v>
      </c>
      <c r="G133" s="10" t="str">
        <f aca="false">IF($B133="","",IF($D133="","未還","已還"))</f>
        <v>已還</v>
      </c>
    </row>
    <row r="134" customFormat="false" ht="15" hidden="false" customHeight="false" outlineLevel="0" collapsed="false">
      <c r="A134" s="7" t="s">
        <v>160</v>
      </c>
      <c r="B134" s="7" t="s">
        <v>47</v>
      </c>
      <c r="C134" s="8" t="n">
        <v>45753</v>
      </c>
      <c r="D134" s="8" t="n">
        <v>45776</v>
      </c>
      <c r="E134" s="9" t="str">
        <f aca="false">IF($B134="","",IFERROR(INDEX(書籍!$B$2:$B$2000,MATCH($B134,書籍!$A$2:$A$2000,0)),"（沒建檔）"))</f>
        <v>最後一個花園</v>
      </c>
      <c r="F134" s="9" t="str">
        <f aca="false">IF($A134="","",IFERROR(INDEX(會員!$B$2:$B$2000,MATCH($A134,會員!$A$2:$A$2000,0)),"（沒建檔）"))</f>
        <v>張季軒</v>
      </c>
      <c r="G134" s="10" t="str">
        <f aca="false">IF($B134="","",IF($D134="","未還","已還"))</f>
        <v>已還</v>
      </c>
    </row>
    <row r="135" customFormat="false" ht="15" hidden="false" customHeight="false" outlineLevel="0" collapsed="false">
      <c r="A135" s="7" t="s">
        <v>97</v>
      </c>
      <c r="B135" s="7" t="s">
        <v>71</v>
      </c>
      <c r="C135" s="8" t="n">
        <v>45753</v>
      </c>
      <c r="D135" s="8" t="n">
        <v>45769</v>
      </c>
      <c r="E135" s="9" t="str">
        <f aca="false">IF($B135="","",IFERROR(INDEX(書籍!$B$2:$B$2000,MATCH($B135,書籍!$A$2:$A$2000,0)),"（沒建檔）"))</f>
        <v>深夜的手記</v>
      </c>
      <c r="F135" s="9" t="str">
        <f aca="false">IF($A135="","",IFERROR(INDEX(會員!$B$2:$B$2000,MATCH($A135,會員!$A$2:$A$2000,0)),"（沒建檔）"))</f>
        <v>廖品妍</v>
      </c>
      <c r="G135" s="10" t="str">
        <f aca="false">IF($B135="","",IF($D135="","未還","已還"))</f>
        <v>已還</v>
      </c>
    </row>
    <row r="136" customFormat="false" ht="15" hidden="false" customHeight="false" outlineLevel="0" collapsed="false">
      <c r="A136" s="7" t="s">
        <v>56</v>
      </c>
      <c r="B136" s="7" t="s">
        <v>23</v>
      </c>
      <c r="C136" s="8" t="n">
        <v>45753</v>
      </c>
      <c r="D136" s="8" t="n">
        <v>45780</v>
      </c>
      <c r="E136" s="9" t="str">
        <f aca="false">IF($B136="","",IFERROR(INDEX(書籍!$B$2:$B$2000,MATCH($B136,書籍!$A$2:$A$2000,0)),"（沒建檔）"))</f>
        <v>漫長的夏天</v>
      </c>
      <c r="F136" s="9" t="str">
        <f aca="false">IF($A136="","",IFERROR(INDEX(會員!$B$2:$B$2000,MATCH($A136,會員!$A$2:$A$2000,0)),"（沒建檔）"))</f>
        <v>李季軒</v>
      </c>
      <c r="G136" s="10" t="str">
        <f aca="false">IF($B136="","",IF($D136="","未還","已還"))</f>
        <v>已還</v>
      </c>
    </row>
    <row r="137" customFormat="false" ht="15" hidden="false" customHeight="false" outlineLevel="0" collapsed="false">
      <c r="A137" s="7" t="s">
        <v>97</v>
      </c>
      <c r="B137" s="7" t="s">
        <v>82</v>
      </c>
      <c r="C137" s="8" t="n">
        <v>45753</v>
      </c>
      <c r="D137" s="8" t="n">
        <v>45764</v>
      </c>
      <c r="E137" s="9" t="str">
        <f aca="false">IF($B137="","",IFERROR(INDEX(書籍!$B$2:$B$2000,MATCH($B137,書籍!$A$2:$A$2000,0)),"（沒建檔）"))</f>
        <v>藍色手記</v>
      </c>
      <c r="F137" s="9" t="str">
        <f aca="false">IF($A137="","",IFERROR(INDEX(會員!$B$2:$B$2000,MATCH($A137,會員!$A$2:$A$2000,0)),"（沒建檔）"))</f>
        <v>廖品妍</v>
      </c>
      <c r="G137" s="10" t="str">
        <f aca="false">IF($B137="","",IF($D137="","未還","已還"))</f>
        <v>已還</v>
      </c>
    </row>
    <row r="138" customFormat="false" ht="15" hidden="false" customHeight="false" outlineLevel="0" collapsed="false">
      <c r="A138" s="7" t="s">
        <v>32</v>
      </c>
      <c r="B138" s="7" t="s">
        <v>59</v>
      </c>
      <c r="C138" s="8" t="n">
        <v>45755</v>
      </c>
      <c r="D138" s="8" t="n">
        <v>45782</v>
      </c>
      <c r="E138" s="9" t="str">
        <f aca="false">IF($B138="","",IFERROR(INDEX(書籍!$B$2:$B$2000,MATCH($B138,書籍!$A$2:$A$2000,0)),"（沒建檔）"))</f>
        <v>月球回信</v>
      </c>
      <c r="F138" s="9" t="str">
        <f aca="false">IF($A138="","",IFERROR(INDEX(會員!$B$2:$B$2000,MATCH($A138,會員!$A$2:$A$2000,0)),"（沒建檔）"))</f>
        <v>李子涵</v>
      </c>
      <c r="G138" s="10" t="str">
        <f aca="false">IF($B138="","",IF($D138="","未還","已還"))</f>
        <v>已還</v>
      </c>
    </row>
    <row r="139" customFormat="false" ht="15" hidden="false" customHeight="false" outlineLevel="0" collapsed="false">
      <c r="A139" s="7" t="s">
        <v>116</v>
      </c>
      <c r="B139" s="7" t="s">
        <v>92</v>
      </c>
      <c r="C139" s="8" t="n">
        <v>45756</v>
      </c>
      <c r="D139" s="8" t="n">
        <v>45778</v>
      </c>
      <c r="E139" s="9" t="str">
        <f aca="false">IF($B139="","",IFERROR(INDEX(書籍!$B$2:$B$2000,MATCH($B139,書籍!$A$2:$A$2000,0)),"（沒建檔）"))</f>
        <v>藍色花園</v>
      </c>
      <c r="F139" s="9" t="str">
        <f aca="false">IF($A139="","",IFERROR(INDEX(會員!$B$2:$B$2000,MATCH($A139,會員!$A$2:$A$2000,0)),"（沒建檔）"))</f>
        <v>郭詠晴</v>
      </c>
      <c r="G139" s="10" t="str">
        <f aca="false">IF($B139="","",IF($D139="","未還","已還"))</f>
        <v>已還</v>
      </c>
    </row>
    <row r="140" customFormat="false" ht="15" hidden="false" customHeight="false" outlineLevel="0" collapsed="false">
      <c r="A140" s="7" t="s">
        <v>40</v>
      </c>
      <c r="B140" s="7" t="s">
        <v>53</v>
      </c>
      <c r="C140" s="8" t="n">
        <v>45756</v>
      </c>
      <c r="D140" s="8" t="n">
        <v>45763</v>
      </c>
      <c r="E140" s="9" t="str">
        <f aca="false">IF($B140="","",IFERROR(INDEX(書籍!$B$2:$B$2000,MATCH($B140,書籍!$A$2:$A$2000,0)),"（沒建檔）"))</f>
        <v>看不見的鐘樓</v>
      </c>
      <c r="F140" s="9" t="str">
        <f aca="false">IF($A140="","",IFERROR(INDEX(會員!$B$2:$B$2000,MATCH($A140,會員!$A$2:$A$2000,0)),"（沒建檔）"))</f>
        <v>賴佩珊</v>
      </c>
      <c r="G140" s="10" t="str">
        <f aca="false">IF($B140="","",IF($D140="","未還","已還"))</f>
        <v>已還</v>
      </c>
    </row>
    <row r="141" customFormat="false" ht="15" hidden="false" customHeight="false" outlineLevel="0" collapsed="false">
      <c r="A141" s="7" t="s">
        <v>113</v>
      </c>
      <c r="B141" s="7" t="s">
        <v>143</v>
      </c>
      <c r="C141" s="8" t="n">
        <v>45756</v>
      </c>
      <c r="D141" s="8" t="n">
        <v>45770</v>
      </c>
      <c r="E141" s="9" t="str">
        <f aca="false">IF($B141="","",IFERROR(INDEX(書籍!$B$2:$B$2000,MATCH($B141,書籍!$A$2:$A$2000,0)),"（沒建檔）"))</f>
        <v>月球花園</v>
      </c>
      <c r="F141" s="9" t="str">
        <f aca="false">IF($A141="","",IFERROR(INDEX(會員!$B$2:$B$2000,MATCH($A141,會員!$A$2:$A$2000,0)),"（沒建檔）"))</f>
        <v>謝子涵</v>
      </c>
      <c r="G141" s="10" t="str">
        <f aca="false">IF($B141="","",IF($D141="","未還","已還"))</f>
        <v>已還</v>
      </c>
    </row>
    <row r="142" customFormat="false" ht="15" hidden="false" customHeight="false" outlineLevel="0" collapsed="false">
      <c r="A142" s="7" t="s">
        <v>75</v>
      </c>
      <c r="B142" s="7" t="s">
        <v>69</v>
      </c>
      <c r="C142" s="8" t="n">
        <v>45757</v>
      </c>
      <c r="D142" s="8" t="n">
        <v>45777</v>
      </c>
      <c r="E142" s="9" t="str">
        <f aca="false">IF($B142="","",IFERROR(INDEX(書籍!$B$2:$B$2000,MATCH($B142,書籍!$A$2:$A$2000,0)),"（沒建檔）"))</f>
        <v>藍色祕密</v>
      </c>
      <c r="F142" s="9" t="str">
        <f aca="false">IF($A142="","",IFERROR(INDEX(會員!$B$2:$B$2000,MATCH($A142,會員!$A$2:$A$2000,0)),"（沒建檔）"))</f>
        <v>黃芷萱</v>
      </c>
      <c r="G142" s="10" t="str">
        <f aca="false">IF($B142="","",IF($D142="","未還","已還"))</f>
        <v>已還</v>
      </c>
    </row>
    <row r="143" customFormat="false" ht="15" hidden="false" customHeight="false" outlineLevel="0" collapsed="false">
      <c r="A143" s="7" t="s">
        <v>40</v>
      </c>
      <c r="B143" s="7" t="s">
        <v>81</v>
      </c>
      <c r="C143" s="8" t="n">
        <v>45757</v>
      </c>
      <c r="D143" s="8" t="n">
        <v>45784</v>
      </c>
      <c r="E143" s="9" t="str">
        <f aca="false">IF($B143="","",IFERROR(INDEX(書籍!$B$2:$B$2000,MATCH($B143,書籍!$A$2:$A$2000,0)),"（沒建檔）"))</f>
        <v>紙上的祕密</v>
      </c>
      <c r="F143" s="9" t="str">
        <f aca="false">IF($A143="","",IFERROR(INDEX(會員!$B$2:$B$2000,MATCH($A143,會員!$A$2:$A$2000,0)),"（沒建檔）"))</f>
        <v>賴佩珊</v>
      </c>
      <c r="G143" s="10" t="str">
        <f aca="false">IF($B143="","",IF($D143="","未還","已還"))</f>
        <v>已還</v>
      </c>
    </row>
    <row r="144" customFormat="false" ht="15" hidden="false" customHeight="false" outlineLevel="0" collapsed="false">
      <c r="A144" s="7" t="s">
        <v>72</v>
      </c>
      <c r="B144" s="7" t="s">
        <v>27</v>
      </c>
      <c r="C144" s="8" t="n">
        <v>45758</v>
      </c>
      <c r="D144" s="8" t="n">
        <v>45770</v>
      </c>
      <c r="E144" s="9" t="str">
        <f aca="false">IF($B144="","",IFERROR(INDEX(書籍!$B$2:$B$2000,MATCH($B144,書籍!$A$2:$A$2000,0)),"（沒建檔）"))</f>
        <v>漫長的回信</v>
      </c>
      <c r="F144" s="9" t="str">
        <f aca="false">IF($A144="","",IFERROR(INDEX(會員!$B$2:$B$2000,MATCH($A144,會員!$A$2:$A$2000,0)),"（沒建檔）"))</f>
        <v>蔡季軒</v>
      </c>
      <c r="G144" s="10" t="str">
        <f aca="false">IF($B144="","",IF($D144="","未還","已還"))</f>
        <v>已還</v>
      </c>
    </row>
    <row r="145" customFormat="false" ht="15" hidden="false" customHeight="false" outlineLevel="0" collapsed="false">
      <c r="A145" s="7" t="s">
        <v>56</v>
      </c>
      <c r="B145" s="7" t="s">
        <v>35</v>
      </c>
      <c r="C145" s="8" t="n">
        <v>45758</v>
      </c>
      <c r="D145" s="8" t="n">
        <v>45769</v>
      </c>
      <c r="E145" s="9" t="str">
        <f aca="false">IF($B145="","",IFERROR(INDEX(書籍!$B$2:$B$2000,MATCH($B145,書籍!$A$2:$A$2000,0)),"（沒建檔）"))</f>
        <v>半路上的祕密</v>
      </c>
      <c r="F145" s="9" t="str">
        <f aca="false">IF($A145="","",IFERROR(INDEX(會員!$B$2:$B$2000,MATCH($A145,會員!$A$2:$A$2000,0)),"（沒建檔）"))</f>
        <v>李季軒</v>
      </c>
      <c r="G145" s="10" t="str">
        <f aca="false">IF($B145="","",IF($D145="","未還","已還"))</f>
        <v>已還</v>
      </c>
    </row>
    <row r="146" customFormat="false" ht="15" hidden="false" customHeight="false" outlineLevel="0" collapsed="false">
      <c r="A146" s="7" t="s">
        <v>161</v>
      </c>
      <c r="B146" s="7" t="s">
        <v>57</v>
      </c>
      <c r="C146" s="8" t="n">
        <v>45758</v>
      </c>
      <c r="D146" s="8" t="n">
        <v>45767</v>
      </c>
      <c r="E146" s="9" t="str">
        <f aca="false">IF($B146="","",IFERROR(INDEX(書籍!$B$2:$B$2000,MATCH($B146,書籍!$A$2:$A$2000,0)),"（沒建檔）"))</f>
        <v>沉默的森林</v>
      </c>
      <c r="F146" s="9" t="str">
        <f aca="false">IF($A146="","",IFERROR(INDEX(會員!$B$2:$B$2000,MATCH($A146,會員!$A$2:$A$2000,0)),"（沒建檔）"))</f>
        <v>吳彥廷</v>
      </c>
      <c r="G146" s="10" t="str">
        <f aca="false">IF($B146="","",IF($D146="","未還","已還"))</f>
        <v>已還</v>
      </c>
    </row>
    <row r="147" customFormat="false" ht="15" hidden="false" customHeight="false" outlineLevel="0" collapsed="false">
      <c r="A147" s="7" t="s">
        <v>95</v>
      </c>
      <c r="B147" s="7" t="s">
        <v>78</v>
      </c>
      <c r="C147" s="8" t="n">
        <v>45758</v>
      </c>
      <c r="D147" s="8" t="n">
        <v>45779</v>
      </c>
      <c r="E147" s="9" t="str">
        <f aca="false">IF($B147="","",IFERROR(INDEX(書籍!$B$2:$B$2000,MATCH($B147,書籍!$A$2:$A$2000,0)),"（沒建檔）"))</f>
        <v>冬季約定</v>
      </c>
      <c r="F147" s="9" t="str">
        <f aca="false">IF($A147="","",IFERROR(INDEX(會員!$B$2:$B$2000,MATCH($A147,會員!$A$2:$A$2000,0)),"（沒建檔）"))</f>
        <v>邱承翰</v>
      </c>
      <c r="G147" s="10" t="str">
        <f aca="false">IF($B147="","",IF($D147="","未還","已還"))</f>
        <v>已還</v>
      </c>
    </row>
    <row r="148" customFormat="false" ht="15" hidden="false" customHeight="false" outlineLevel="0" collapsed="false">
      <c r="A148" s="7" t="s">
        <v>54</v>
      </c>
      <c r="B148" s="7" t="s">
        <v>74</v>
      </c>
      <c r="C148" s="8" t="n">
        <v>45759</v>
      </c>
      <c r="D148" s="8" t="n">
        <v>45763</v>
      </c>
      <c r="E148" s="9" t="str">
        <f aca="false">IF($B148="","",IFERROR(INDEX(書籍!$B$2:$B$2000,MATCH($B148,書籍!$A$2:$A$2000,0)),"（沒建檔）"))</f>
        <v>月球書店</v>
      </c>
      <c r="F148" s="9" t="str">
        <f aca="false">IF($A148="","",IFERROR(INDEX(會員!$B$2:$B$2000,MATCH($A148,會員!$A$2:$A$2000,0)),"（沒建檔）"))</f>
        <v>洪季軒</v>
      </c>
      <c r="G148" s="10" t="str">
        <f aca="false">IF($B148="","",IF($D148="","未還","已還"))</f>
        <v>已還</v>
      </c>
    </row>
    <row r="149" customFormat="false" ht="15" hidden="false" customHeight="false" outlineLevel="0" collapsed="false">
      <c r="A149" s="7" t="s">
        <v>72</v>
      </c>
      <c r="B149" s="7" t="s">
        <v>118</v>
      </c>
      <c r="C149" s="8" t="n">
        <v>45760</v>
      </c>
      <c r="D149" s="8" t="n">
        <v>45768</v>
      </c>
      <c r="E149" s="9" t="str">
        <f aca="false">IF($B149="","",IFERROR(INDEX(書籍!$B$2:$B$2000,MATCH($B149,書籍!$A$2:$A$2000,0)),"（沒建檔）"))</f>
        <v>地下室貓</v>
      </c>
      <c r="F149" s="9" t="str">
        <f aca="false">IF($A149="","",IFERROR(INDEX(會員!$B$2:$B$2000,MATCH($A149,會員!$A$2:$A$2000,0)),"（沒建檔）"))</f>
        <v>蔡季軒</v>
      </c>
      <c r="G149" s="10" t="str">
        <f aca="false">IF($B149="","",IF($D149="","未還","已還"))</f>
        <v>已還</v>
      </c>
    </row>
    <row r="150" customFormat="false" ht="15" hidden="false" customHeight="false" outlineLevel="0" collapsed="false">
      <c r="A150" s="7" t="s">
        <v>58</v>
      </c>
      <c r="B150" s="7" t="s">
        <v>38</v>
      </c>
      <c r="C150" s="8" t="n">
        <v>45761</v>
      </c>
      <c r="D150" s="8" t="n">
        <v>45785</v>
      </c>
      <c r="E150" s="9" t="str">
        <f aca="false">IF($B150="","",IFERROR(INDEX(書籍!$B$2:$B$2000,MATCH($B150,書籍!$A$2:$A$2000,0)),"（沒建檔）"))</f>
        <v>小鎮森林</v>
      </c>
      <c r="F150" s="9" t="str">
        <f aca="false">IF($A150="","",IFERROR(INDEX(會員!$B$2:$B$2000,MATCH($A150,會員!$A$2:$A$2000,0)),"（沒建檔）"))</f>
        <v>賴思妤</v>
      </c>
      <c r="G150" s="10" t="str">
        <f aca="false">IF($B150="","",IF($D150="","未還","已還"))</f>
        <v>已還</v>
      </c>
    </row>
    <row r="151" customFormat="false" ht="15" hidden="false" customHeight="false" outlineLevel="0" collapsed="false">
      <c r="A151" s="7" t="s">
        <v>63</v>
      </c>
      <c r="B151" s="7" t="s">
        <v>33</v>
      </c>
      <c r="C151" s="8" t="n">
        <v>45762</v>
      </c>
      <c r="D151" s="8" t="n">
        <v>45765</v>
      </c>
      <c r="E151" s="9" t="str">
        <f aca="false">IF($B151="","",IFERROR(INDEX(書籍!$B$2:$B$2000,MATCH($B151,書籍!$A$2:$A$2000,0)),"（沒建檔）"))</f>
        <v>海邊的旅人</v>
      </c>
      <c r="F151" s="9" t="str">
        <f aca="false">IF($A151="","",IFERROR(INDEX(會員!$B$2:$B$2000,MATCH($A151,會員!$A$2:$A$2000,0)),"（沒建檔）"))</f>
        <v>陳祐誠</v>
      </c>
      <c r="G151" s="10" t="str">
        <f aca="false">IF($B151="","",IF($D151="","未還","已還"))</f>
        <v>已還</v>
      </c>
    </row>
    <row r="152" customFormat="false" ht="15" hidden="false" customHeight="false" outlineLevel="0" collapsed="false">
      <c r="A152" s="7" t="s">
        <v>46</v>
      </c>
      <c r="B152" s="7" t="s">
        <v>145</v>
      </c>
      <c r="C152" s="8" t="n">
        <v>45762</v>
      </c>
      <c r="D152" s="8" t="n">
        <v>45792</v>
      </c>
      <c r="E152" s="9" t="str">
        <f aca="false">IF($B152="","",IFERROR(INDEX(書籍!$B$2:$B$2000,MATCH($B152,書籍!$A$2:$A$2000,0)),"（沒建檔）"))</f>
        <v>地下室地圖</v>
      </c>
      <c r="F152" s="9" t="str">
        <f aca="false">IF($A152="","",IFERROR(INDEX(會員!$B$2:$B$2000,MATCH($A152,會員!$A$2:$A$2000,0)),"（沒建檔）"))</f>
        <v>郭思妤</v>
      </c>
      <c r="G152" s="10" t="str">
        <f aca="false">IF($B152="","",IF($D152="","未還","已還"))</f>
        <v>已還</v>
      </c>
    </row>
    <row r="153" customFormat="false" ht="15" hidden="false" customHeight="false" outlineLevel="0" collapsed="false">
      <c r="A153" s="7" t="s">
        <v>113</v>
      </c>
      <c r="B153" s="7" t="s">
        <v>98</v>
      </c>
      <c r="C153" s="8" t="n">
        <v>45765</v>
      </c>
      <c r="D153" s="8" t="n">
        <v>45768</v>
      </c>
      <c r="E153" s="9" t="str">
        <f aca="false">IF($B153="","",IFERROR(INDEX(書籍!$B$2:$B$2000,MATCH($B153,書籍!$A$2:$A$2000,0)),"（沒建檔）"))</f>
        <v>北方廚房</v>
      </c>
      <c r="F153" s="9" t="str">
        <f aca="false">IF($A153="","",IFERROR(INDEX(會員!$B$2:$B$2000,MATCH($A153,會員!$A$2:$A$2000,0)),"（沒建檔）"))</f>
        <v>謝子涵</v>
      </c>
      <c r="G153" s="10" t="str">
        <f aca="false">IF($B153="","",IF($D153="","未還","已還"))</f>
        <v>已還</v>
      </c>
    </row>
    <row r="154" customFormat="false" ht="15" hidden="false" customHeight="false" outlineLevel="0" collapsed="false">
      <c r="A154" s="7" t="s">
        <v>28</v>
      </c>
      <c r="B154" s="7" t="s">
        <v>25</v>
      </c>
      <c r="C154" s="8" t="n">
        <v>45765</v>
      </c>
      <c r="D154" s="8" t="n">
        <v>45795</v>
      </c>
      <c r="E154" s="9" t="str">
        <f aca="false">IF($B154="","",IFERROR(INDEX(書籍!$B$2:$B$2000,MATCH($B154,書籍!$A$2:$A$2000,0)),"（沒建檔）"))</f>
        <v>看不見的咖啡館</v>
      </c>
      <c r="F154" s="9" t="str">
        <f aca="false">IF($A154="","",IFERROR(INDEX(會員!$B$2:$B$2000,MATCH($A154,會員!$A$2:$A$2000,0)),"（沒建檔）"))</f>
        <v>郭妍希</v>
      </c>
      <c r="G154" s="10" t="str">
        <f aca="false">IF($B154="","",IF($D154="","未還","已還"))</f>
        <v>已還</v>
      </c>
    </row>
    <row r="155" customFormat="false" ht="15" hidden="false" customHeight="false" outlineLevel="0" collapsed="false">
      <c r="A155" s="7" t="s">
        <v>54</v>
      </c>
      <c r="B155" s="7" t="s">
        <v>112</v>
      </c>
      <c r="C155" s="8" t="n">
        <v>45765</v>
      </c>
      <c r="D155" s="8" t="n">
        <v>45777</v>
      </c>
      <c r="E155" s="9" t="str">
        <f aca="false">IF($B155="","",IFERROR(INDEX(書籍!$B$2:$B$2000,MATCH($B155,書籍!$A$2:$A$2000,0)),"（沒建檔）"))</f>
        <v>圖書館地圖</v>
      </c>
      <c r="F155" s="9" t="str">
        <f aca="false">IF($A155="","",IFERROR(INDEX(會員!$B$2:$B$2000,MATCH($A155,會員!$A$2:$A$2000,0)),"（沒建檔）"))</f>
        <v>洪季軒</v>
      </c>
      <c r="G155" s="10" t="str">
        <f aca="false">IF($B155="","",IF($D155="","未還","已還"))</f>
        <v>已還</v>
      </c>
    </row>
    <row r="156" customFormat="false" ht="15" hidden="false" customHeight="false" outlineLevel="0" collapsed="false">
      <c r="A156" s="7" t="s">
        <v>51</v>
      </c>
      <c r="B156" s="7" t="s">
        <v>94</v>
      </c>
      <c r="C156" s="8" t="n">
        <v>45767</v>
      </c>
      <c r="D156" s="8" t="n">
        <v>45779</v>
      </c>
      <c r="E156" s="9" t="str">
        <f aca="false">IF($B156="","",IFERROR(INDEX(書籍!$B$2:$B$2000,MATCH($B156,書籍!$A$2:$A$2000,0)),"（沒建檔）"))</f>
        <v>藍色咖啡館</v>
      </c>
      <c r="F156" s="9" t="str">
        <f aca="false">IF($A156="","",IFERROR(INDEX(會員!$B$2:$B$2000,MATCH($A156,會員!$A$2:$A$2000,0)),"（沒建檔）"))</f>
        <v>林子涵</v>
      </c>
      <c r="G156" s="10" t="str">
        <f aca="false">IF($B156="","",IF($D156="","未還","已還"))</f>
        <v>已還</v>
      </c>
    </row>
    <row r="157" customFormat="false" ht="15" hidden="false" customHeight="false" outlineLevel="0" collapsed="false">
      <c r="A157" s="7" t="s">
        <v>87</v>
      </c>
      <c r="B157" s="7" t="s">
        <v>76</v>
      </c>
      <c r="C157" s="8" t="n">
        <v>45767</v>
      </c>
      <c r="D157" s="8" t="n">
        <v>45779</v>
      </c>
      <c r="E157" s="9" t="str">
        <f aca="false">IF($B157="","",IFERROR(INDEX(書籍!$B$2:$B$2000,MATCH($B157,書籍!$A$2:$A$2000,0)),"（沒建檔）"))</f>
        <v>十二個鐘樓</v>
      </c>
      <c r="F157" s="9" t="str">
        <f aca="false">IF($A157="","",IFERROR(INDEX(會員!$B$2:$B$2000,MATCH($A157,會員!$A$2:$A$2000,0)),"（沒建檔）"))</f>
        <v>楊芷萱</v>
      </c>
      <c r="G157" s="10" t="str">
        <f aca="false">IF($B157="","",IF($D157="","未還","已還"))</f>
        <v>已還</v>
      </c>
    </row>
    <row r="158" customFormat="false" ht="15" hidden="false" customHeight="false" outlineLevel="0" collapsed="false">
      <c r="A158" s="7" t="s">
        <v>101</v>
      </c>
      <c r="B158" s="7" t="s">
        <v>70</v>
      </c>
      <c r="C158" s="8" t="n">
        <v>45770</v>
      </c>
      <c r="D158" s="8" t="n">
        <v>45773</v>
      </c>
      <c r="E158" s="9" t="str">
        <f aca="false">IF($B158="","",IFERROR(INDEX(書籍!$B$2:$B$2000,MATCH($B158,書籍!$A$2:$A$2000,0)),"（沒建檔）"))</f>
        <v>深夜的約定</v>
      </c>
      <c r="F158" s="9" t="str">
        <f aca="false">IF($A158="","",IFERROR(INDEX(會員!$B$2:$B$2000,MATCH($A158,會員!$A$2:$A$2000,0)),"（沒建檔）"))</f>
        <v>曾志明</v>
      </c>
      <c r="G158" s="10" t="str">
        <f aca="false">IF($B158="","",IF($D158="","未還","已還"))</f>
        <v>已還</v>
      </c>
    </row>
    <row r="159" customFormat="false" ht="15" hidden="false" customHeight="false" outlineLevel="0" collapsed="false">
      <c r="A159" s="7" t="s">
        <v>80</v>
      </c>
      <c r="B159" s="7" t="s">
        <v>65</v>
      </c>
      <c r="C159" s="8" t="n">
        <v>45770</v>
      </c>
      <c r="D159" s="8" t="n">
        <v>45795</v>
      </c>
      <c r="E159" s="9" t="str">
        <f aca="false">IF($B159="","",IFERROR(INDEX(書籍!$B$2:$B$2000,MATCH($B159,書籍!$A$2:$A$2000,0)),"（沒建檔）"))</f>
        <v>深夜的季節</v>
      </c>
      <c r="F159" s="9" t="str">
        <f aca="false">IF($A159="","",IFERROR(INDEX(會員!$B$2:$B$2000,MATCH($A159,會員!$A$2:$A$2000,0)),"（沒建檔）"))</f>
        <v>洪詠晴</v>
      </c>
      <c r="G159" s="10" t="str">
        <f aca="false">IF($B159="","",IF($D159="","未還","已還"))</f>
        <v>已還</v>
      </c>
    </row>
    <row r="160" customFormat="false" ht="15" hidden="false" customHeight="false" outlineLevel="0" collapsed="false">
      <c r="A160" s="7" t="s">
        <v>68</v>
      </c>
      <c r="B160" s="7" t="s">
        <v>134</v>
      </c>
      <c r="C160" s="8" t="n">
        <v>45771</v>
      </c>
      <c r="D160" s="8" t="n">
        <v>45780</v>
      </c>
      <c r="E160" s="9" t="str">
        <f aca="false">IF($B160="","",IFERROR(INDEX(書籍!$B$2:$B$2000,MATCH($B160,書籍!$A$2:$A$2000,0)),"（沒建檔）"))</f>
        <v>紙上的鋼琴師</v>
      </c>
      <c r="F160" s="9" t="str">
        <f aca="false">IF($A160="","",IFERROR(INDEX(會員!$B$2:$B$2000,MATCH($A160,會員!$A$2:$A$2000,0)),"（沒建檔）"))</f>
        <v>賴建宏</v>
      </c>
      <c r="G160" s="10" t="str">
        <f aca="false">IF($B160="","",IF($D160="","未還","已還"))</f>
        <v>已還</v>
      </c>
    </row>
    <row r="161" customFormat="false" ht="15" hidden="false" customHeight="false" outlineLevel="0" collapsed="false">
      <c r="A161" s="7" t="s">
        <v>93</v>
      </c>
      <c r="B161" s="7" t="s">
        <v>79</v>
      </c>
      <c r="C161" s="8" t="n">
        <v>45772</v>
      </c>
      <c r="D161" s="8" t="n">
        <v>45789</v>
      </c>
      <c r="E161" s="9" t="str">
        <f aca="false">IF($B161="","",IFERROR(INDEX(書籍!$B$2:$B$2000,MATCH($B161,書籍!$A$2:$A$2000,0)),"（沒建檔）"))</f>
        <v>紙上的書店</v>
      </c>
      <c r="F161" s="9" t="str">
        <f aca="false">IF($A161="","",IFERROR(INDEX(會員!$B$2:$B$2000,MATCH($A161,會員!$A$2:$A$2000,0)),"（沒建檔）"))</f>
        <v>邱沐恩</v>
      </c>
      <c r="G161" s="10" t="str">
        <f aca="false">IF($B161="","",IF($D161="","未還","已還"))</f>
        <v>已還</v>
      </c>
    </row>
    <row r="162" customFormat="false" ht="15" hidden="false" customHeight="false" outlineLevel="0" collapsed="false">
      <c r="A162" s="7" t="s">
        <v>122</v>
      </c>
      <c r="B162" s="7" t="s">
        <v>33</v>
      </c>
      <c r="C162" s="8" t="n">
        <v>45773</v>
      </c>
      <c r="D162" s="8" t="n">
        <v>45803</v>
      </c>
      <c r="E162" s="9" t="str">
        <f aca="false">IF($B162="","",IFERROR(INDEX(書籍!$B$2:$B$2000,MATCH($B162,書籍!$A$2:$A$2000,0)),"（沒建檔）"))</f>
        <v>海邊的旅人</v>
      </c>
      <c r="F162" s="9" t="str">
        <f aca="false">IF($A162="","",IFERROR(INDEX(會員!$B$2:$B$2000,MATCH($A162,會員!$A$2:$A$2000,0)),"（沒建檔）"))</f>
        <v>周彥廷</v>
      </c>
      <c r="G162" s="10" t="str">
        <f aca="false">IF($B162="","",IF($D162="","未還","已還"))</f>
        <v>已還</v>
      </c>
    </row>
    <row r="163" customFormat="false" ht="15" hidden="false" customHeight="false" outlineLevel="0" collapsed="false">
      <c r="A163" s="7" t="s">
        <v>32</v>
      </c>
      <c r="B163" s="7" t="s">
        <v>102</v>
      </c>
      <c r="C163" s="8" t="n">
        <v>45773</v>
      </c>
      <c r="D163" s="8" t="n">
        <v>45794</v>
      </c>
      <c r="E163" s="9" t="str">
        <f aca="false">IF($B163="","",IFERROR(INDEX(書籍!$B$2:$B$2000,MATCH($B163,書籍!$A$2:$A$2000,0)),"（沒建檔）"))</f>
        <v>最後一個偵探</v>
      </c>
      <c r="F163" s="9" t="str">
        <f aca="false">IF($A163="","",IFERROR(INDEX(會員!$B$2:$B$2000,MATCH($A163,會員!$A$2:$A$2000,0)),"（沒建檔）"))</f>
        <v>李子涵</v>
      </c>
      <c r="G163" s="10" t="str">
        <f aca="false">IF($B163="","",IF($D163="","未還","已還"))</f>
        <v>已還</v>
      </c>
    </row>
    <row r="164" customFormat="false" ht="15" hidden="false" customHeight="false" outlineLevel="0" collapsed="false">
      <c r="A164" s="7" t="s">
        <v>58</v>
      </c>
      <c r="B164" s="7" t="s">
        <v>120</v>
      </c>
      <c r="C164" s="8" t="n">
        <v>45773</v>
      </c>
      <c r="D164" s="8" t="n">
        <v>45781</v>
      </c>
      <c r="E164" s="9" t="str">
        <f aca="false">IF($B164="","",IFERROR(INDEX(書籍!$B$2:$B$2000,MATCH($B164,書籍!$A$2:$A$2000,0)),"（沒建檔）"))</f>
        <v>月球廚房</v>
      </c>
      <c r="F164" s="9" t="str">
        <f aca="false">IF($A164="","",IFERROR(INDEX(會員!$B$2:$B$2000,MATCH($A164,會員!$A$2:$A$2000,0)),"（沒建檔）"))</f>
        <v>賴思妤</v>
      </c>
      <c r="G164" s="10" t="str">
        <f aca="false">IF($B164="","",IF($D164="","未還","已還"))</f>
        <v>已還</v>
      </c>
    </row>
    <row r="165" customFormat="false" ht="15" hidden="false" customHeight="false" outlineLevel="0" collapsed="false">
      <c r="A165" s="7" t="s">
        <v>77</v>
      </c>
      <c r="B165" s="7" t="s">
        <v>141</v>
      </c>
      <c r="C165" s="8" t="n">
        <v>45775</v>
      </c>
      <c r="D165" s="8" t="n">
        <v>45791</v>
      </c>
      <c r="E165" s="9" t="str">
        <f aca="false">IF($B165="","",IFERROR(INDEX(書籍!$B$2:$B$2000,MATCH($B165,書籍!$A$2:$A$2000,0)),"（沒建檔）"))</f>
        <v>十二個書店</v>
      </c>
      <c r="F165" s="9" t="str">
        <f aca="false">IF($A165="","",IFERROR(INDEX(會員!$B$2:$B$2000,MATCH($A165,會員!$A$2:$A$2000,0)),"（沒建檔）"))</f>
        <v>吳柏翰</v>
      </c>
      <c r="G165" s="10" t="str">
        <f aca="false">IF($B165="","",IF($D165="","未還","已還"))</f>
        <v>已還</v>
      </c>
    </row>
    <row r="166" customFormat="false" ht="15" hidden="false" customHeight="false" outlineLevel="0" collapsed="false">
      <c r="A166" s="7" t="s">
        <v>113</v>
      </c>
      <c r="B166" s="7" t="s">
        <v>91</v>
      </c>
      <c r="C166" s="8" t="n">
        <v>45775</v>
      </c>
      <c r="D166" s="8" t="n">
        <v>45792</v>
      </c>
      <c r="E166" s="9" t="str">
        <f aca="false">IF($B166="","",IFERROR(INDEX(書籍!$B$2:$B$2000,MATCH($B166,書籍!$A$2:$A$2000,0)),"（沒建檔）"))</f>
        <v>最後一個偵探</v>
      </c>
      <c r="F166" s="9" t="str">
        <f aca="false">IF($A166="","",IFERROR(INDEX(會員!$B$2:$B$2000,MATCH($A166,會員!$A$2:$A$2000,0)),"（沒建檔）"))</f>
        <v>謝子涵</v>
      </c>
      <c r="G166" s="10" t="str">
        <f aca="false">IF($B166="","",IF($D166="","未還","已還"))</f>
        <v>已還</v>
      </c>
    </row>
    <row r="167" customFormat="false" ht="15" hidden="false" customHeight="false" outlineLevel="0" collapsed="false">
      <c r="A167" s="7" t="s">
        <v>56</v>
      </c>
      <c r="B167" s="7" t="s">
        <v>50</v>
      </c>
      <c r="C167" s="8" t="n">
        <v>45776</v>
      </c>
      <c r="D167" s="8" t="n">
        <v>45803</v>
      </c>
      <c r="E167" s="9" t="str">
        <f aca="false">IF($B167="","",IFERROR(INDEX(書籍!$B$2:$B$2000,MATCH($B167,書籍!$A$2:$A$2000,0)),"（沒建檔）"))</f>
        <v>月球地圖</v>
      </c>
      <c r="F167" s="9" t="str">
        <f aca="false">IF($A167="","",IFERROR(INDEX(會員!$B$2:$B$2000,MATCH($A167,會員!$A$2:$A$2000,0)),"（沒建檔）"))</f>
        <v>李季軒</v>
      </c>
      <c r="G167" s="10" t="str">
        <f aca="false">IF($B167="","",IF($D167="","未還","已還"))</f>
        <v>已還</v>
      </c>
    </row>
    <row r="168" customFormat="false" ht="15" hidden="false" customHeight="false" outlineLevel="0" collapsed="false">
      <c r="A168" s="7" t="s">
        <v>72</v>
      </c>
      <c r="B168" s="7" t="s">
        <v>115</v>
      </c>
      <c r="C168" s="8" t="n">
        <v>45776</v>
      </c>
      <c r="D168" s="8" t="n">
        <v>45790</v>
      </c>
      <c r="E168" s="9" t="str">
        <f aca="false">IF($B168="","",IFERROR(INDEX(書籍!$B$2:$B$2000,MATCH($B168,書籍!$A$2:$A$2000,0)),"（沒建檔）"))</f>
        <v>會說話的偵探</v>
      </c>
      <c r="F168" s="9" t="str">
        <f aca="false">IF($A168="","",IFERROR(INDEX(會員!$B$2:$B$2000,MATCH($A168,會員!$A$2:$A$2000,0)),"（沒建檔）"))</f>
        <v>蔡季軒</v>
      </c>
      <c r="G168" s="10" t="str">
        <f aca="false">IF($B168="","",IF($D168="","未還","已還"))</f>
        <v>已還</v>
      </c>
    </row>
    <row r="169" customFormat="false" ht="15" hidden="false" customHeight="false" outlineLevel="0" collapsed="false">
      <c r="A169" s="7" t="s">
        <v>122</v>
      </c>
      <c r="B169" s="7" t="s">
        <v>125</v>
      </c>
      <c r="C169" s="8" t="n">
        <v>45776</v>
      </c>
      <c r="D169" s="8" t="n">
        <v>45793</v>
      </c>
      <c r="E169" s="9" t="str">
        <f aca="false">IF($B169="","",IFERROR(INDEX(書籍!$B$2:$B$2000,MATCH($B169,書籍!$A$2:$A$2000,0)),"（沒建檔）"))</f>
        <v>會說話的夏天</v>
      </c>
      <c r="F169" s="9" t="str">
        <f aca="false">IF($A169="","",IFERROR(INDEX(會員!$B$2:$B$2000,MATCH($A169,會員!$A$2:$A$2000,0)),"（沒建檔）"))</f>
        <v>周彥廷</v>
      </c>
      <c r="G169" s="10" t="str">
        <f aca="false">IF($B169="","",IF($D169="","未還","已還"))</f>
        <v>已還</v>
      </c>
    </row>
    <row r="170" customFormat="false" ht="15" hidden="false" customHeight="false" outlineLevel="0" collapsed="false">
      <c r="A170" s="7" t="s">
        <v>40</v>
      </c>
      <c r="B170" s="7" t="s">
        <v>121</v>
      </c>
      <c r="C170" s="8" t="n">
        <v>45778</v>
      </c>
      <c r="D170" s="8" t="n">
        <v>45783</v>
      </c>
      <c r="E170" s="9" t="str">
        <f aca="false">IF($B170="","",IFERROR(INDEX(書籍!$B$2:$B$2000,MATCH($B170,書籍!$A$2:$A$2000,0)),"（沒建檔）"))</f>
        <v>轉角夏天</v>
      </c>
      <c r="F170" s="9" t="str">
        <f aca="false">IF($A170="","",IFERROR(INDEX(會員!$B$2:$B$2000,MATCH($A170,會員!$A$2:$A$2000,0)),"（沒建檔）"))</f>
        <v>賴佩珊</v>
      </c>
      <c r="G170" s="10" t="str">
        <f aca="false">IF($B170="","",IF($D170="","未還","已還"))</f>
        <v>已還</v>
      </c>
    </row>
    <row r="171" customFormat="false" ht="15" hidden="false" customHeight="false" outlineLevel="0" collapsed="false">
      <c r="A171" s="7" t="s">
        <v>58</v>
      </c>
      <c r="B171" s="7" t="s">
        <v>109</v>
      </c>
      <c r="C171" s="8" t="n">
        <v>45778</v>
      </c>
      <c r="D171" s="8" t="n">
        <v>45803</v>
      </c>
      <c r="E171" s="9" t="str">
        <f aca="false">IF($B171="","",IFERROR(INDEX(書籍!$B$2:$B$2000,MATCH($B171,書籍!$A$2:$A$2000,0)),"（沒建檔）"))</f>
        <v>深夜的河</v>
      </c>
      <c r="F171" s="9" t="str">
        <f aca="false">IF($A171="","",IFERROR(INDEX(會員!$B$2:$B$2000,MATCH($A171,會員!$A$2:$A$2000,0)),"（沒建檔）"))</f>
        <v>賴思妤</v>
      </c>
      <c r="G171" s="10" t="str">
        <f aca="false">IF($B171="","",IF($D171="","未還","已還"))</f>
        <v>已還</v>
      </c>
    </row>
    <row r="172" customFormat="false" ht="15" hidden="false" customHeight="false" outlineLevel="0" collapsed="false">
      <c r="A172" s="7" t="s">
        <v>56</v>
      </c>
      <c r="B172" s="7" t="s">
        <v>45</v>
      </c>
      <c r="C172" s="8" t="n">
        <v>45778</v>
      </c>
      <c r="D172" s="8" t="n">
        <v>45791</v>
      </c>
      <c r="E172" s="9" t="str">
        <f aca="false">IF($B172="","",IFERROR(INDEX(書籍!$B$2:$B$2000,MATCH($B172,書籍!$A$2:$A$2000,0)),"（沒建檔）"))</f>
        <v>深夜的島</v>
      </c>
      <c r="F172" s="9" t="str">
        <f aca="false">IF($A172="","",IFERROR(INDEX(會員!$B$2:$B$2000,MATCH($A172,會員!$A$2:$A$2000,0)),"（沒建檔）"))</f>
        <v>李季軒</v>
      </c>
      <c r="G172" s="10" t="str">
        <f aca="false">IF($B172="","",IF($D172="","未還","已還"))</f>
        <v>已還</v>
      </c>
    </row>
    <row r="173" customFormat="false" ht="15" hidden="false" customHeight="false" outlineLevel="0" collapsed="false">
      <c r="A173" s="7" t="s">
        <v>63</v>
      </c>
      <c r="B173" s="7" t="s">
        <v>118</v>
      </c>
      <c r="C173" s="8" t="n">
        <v>45778</v>
      </c>
      <c r="D173" s="8" t="n">
        <v>45803</v>
      </c>
      <c r="E173" s="9" t="str">
        <f aca="false">IF($B173="","",IFERROR(INDEX(書籍!$B$2:$B$2000,MATCH($B173,書籍!$A$2:$A$2000,0)),"（沒建檔）"))</f>
        <v>地下室貓</v>
      </c>
      <c r="F173" s="9" t="str">
        <f aca="false">IF($A173="","",IFERROR(INDEX(會員!$B$2:$B$2000,MATCH($A173,會員!$A$2:$A$2000,0)),"（沒建檔）"))</f>
        <v>陳祐誠</v>
      </c>
      <c r="G173" s="10" t="str">
        <f aca="false">IF($B173="","",IF($D173="","未還","已還"))</f>
        <v>已還</v>
      </c>
    </row>
    <row r="174" customFormat="false" ht="15" hidden="false" customHeight="false" outlineLevel="0" collapsed="false">
      <c r="A174" s="7" t="s">
        <v>113</v>
      </c>
      <c r="B174" s="7" t="s">
        <v>61</v>
      </c>
      <c r="C174" s="8" t="n">
        <v>45778</v>
      </c>
      <c r="D174" s="8" t="n">
        <v>45794</v>
      </c>
      <c r="E174" s="9" t="str">
        <f aca="false">IF($B174="","",IFERROR(INDEX(書籍!$B$2:$B$2000,MATCH($B174,書籍!$A$2:$A$2000,0)),"（沒建檔）"))</f>
        <v>沉默的廚房</v>
      </c>
      <c r="F174" s="9" t="str">
        <f aca="false">IF($A174="","",IFERROR(INDEX(會員!$B$2:$B$2000,MATCH($A174,會員!$A$2:$A$2000,0)),"（沒建檔）"))</f>
        <v>謝子涵</v>
      </c>
      <c r="G174" s="10" t="str">
        <f aca="false">IF($B174="","",IF($D174="","未還","已還"))</f>
        <v>已還</v>
      </c>
    </row>
    <row r="175" customFormat="false" ht="15" hidden="false" customHeight="false" outlineLevel="0" collapsed="false">
      <c r="A175" s="7" t="s">
        <v>75</v>
      </c>
      <c r="B175" s="7" t="s">
        <v>106</v>
      </c>
      <c r="C175" s="8" t="n">
        <v>45779</v>
      </c>
      <c r="D175" s="8" t="n">
        <v>45786</v>
      </c>
      <c r="E175" s="9" t="str">
        <f aca="false">IF($B175="","",IFERROR(INDEX(書籍!$B$2:$B$2000,MATCH($B175,書籍!$A$2:$A$2000,0)),"（沒建檔）"))</f>
        <v>轉角鋼琴師</v>
      </c>
      <c r="F175" s="9" t="str">
        <f aca="false">IF($A175="","",IFERROR(INDEX(會員!$B$2:$B$2000,MATCH($A175,會員!$A$2:$A$2000,0)),"（沒建檔）"))</f>
        <v>黃芷萱</v>
      </c>
      <c r="G175" s="10" t="str">
        <f aca="false">IF($B175="","",IF($D175="","未還","已還"))</f>
        <v>已還</v>
      </c>
    </row>
    <row r="176" customFormat="false" ht="15" hidden="false" customHeight="false" outlineLevel="0" collapsed="false">
      <c r="A176" s="7" t="s">
        <v>161</v>
      </c>
      <c r="B176" s="7" t="s">
        <v>128</v>
      </c>
      <c r="C176" s="8" t="n">
        <v>45779</v>
      </c>
      <c r="D176" s="8" t="n">
        <v>45802</v>
      </c>
      <c r="E176" s="9" t="str">
        <f aca="false">IF($B176="","",IFERROR(INDEX(書籍!$B$2:$B$2000,MATCH($B176,書籍!$A$2:$A$2000,0)),"（沒建檔）"))</f>
        <v>地下室夏天</v>
      </c>
      <c r="F176" s="9" t="str">
        <f aca="false">IF($A176="","",IFERROR(INDEX(會員!$B$2:$B$2000,MATCH($A176,會員!$A$2:$A$2000,0)),"（沒建檔）"))</f>
        <v>吳彥廷</v>
      </c>
      <c r="G176" s="10" t="str">
        <f aca="false">IF($B176="","",IF($D176="","未還","已還"))</f>
        <v>已還</v>
      </c>
    </row>
    <row r="177" customFormat="false" ht="15" hidden="false" customHeight="false" outlineLevel="0" collapsed="false">
      <c r="A177" s="7" t="s">
        <v>113</v>
      </c>
      <c r="B177" s="7" t="s">
        <v>150</v>
      </c>
      <c r="C177" s="8" t="n">
        <v>45780</v>
      </c>
      <c r="D177" s="8" t="n">
        <v>45793</v>
      </c>
      <c r="E177" s="9" t="str">
        <f aca="false">IF($B177="","",IFERROR(INDEX(書籍!$B$2:$B$2000,MATCH($B177,書籍!$A$2:$A$2000,0)),"（沒建檔）"))</f>
        <v>第七號地圖</v>
      </c>
      <c r="F177" s="9" t="str">
        <f aca="false">IF($A177="","",IFERROR(INDEX(會員!$B$2:$B$2000,MATCH($A177,會員!$A$2:$A$2000,0)),"（沒建檔）"))</f>
        <v>謝子涵</v>
      </c>
      <c r="G177" s="10" t="str">
        <f aca="false">IF($B177="","",IF($D177="","未還","已還"))</f>
        <v>已還</v>
      </c>
    </row>
    <row r="178" customFormat="false" ht="15" hidden="false" customHeight="false" outlineLevel="0" collapsed="false">
      <c r="A178" s="7" t="s">
        <v>49</v>
      </c>
      <c r="B178" s="7" t="s">
        <v>43</v>
      </c>
      <c r="C178" s="8" t="n">
        <v>45780</v>
      </c>
      <c r="D178" s="8" t="n">
        <v>45790</v>
      </c>
      <c r="E178" s="9" t="str">
        <f aca="false">IF($B178="","",IFERROR(INDEX(書籍!$B$2:$B$2000,MATCH($B178,書籍!$A$2:$A$2000,0)),"（沒建檔）"))</f>
        <v>看不見的廚房</v>
      </c>
      <c r="F178" s="9" t="str">
        <f aca="false">IF($A178="","",IFERROR(INDEX(會員!$B$2:$B$2000,MATCH($A178,會員!$A$2:$A$2000,0)),"（沒建檔）"))</f>
        <v>張宜庭</v>
      </c>
      <c r="G178" s="10" t="str">
        <f aca="false">IF($B178="","",IF($D178="","未還","已還"))</f>
        <v>已還</v>
      </c>
    </row>
    <row r="179" customFormat="false" ht="15" hidden="false" customHeight="false" outlineLevel="0" collapsed="false">
      <c r="A179" s="7" t="s">
        <v>26</v>
      </c>
      <c r="B179" s="7" t="s">
        <v>135</v>
      </c>
      <c r="C179" s="8" t="n">
        <v>45780</v>
      </c>
      <c r="D179" s="8" t="n">
        <v>45810</v>
      </c>
      <c r="E179" s="9" t="str">
        <f aca="false">IF($B179="","",IFERROR(INDEX(書籍!$B$2:$B$2000,MATCH($B179,書籍!$A$2:$A$2000,0)),"（沒建檔）"))</f>
        <v>最後一個森林</v>
      </c>
      <c r="F179" s="9" t="str">
        <f aca="false">IF($A179="","",IFERROR(INDEX(會員!$B$2:$B$2000,MATCH($A179,會員!$A$2:$A$2000,0)),"（沒建檔）"))</f>
        <v>曾淑芬</v>
      </c>
      <c r="G179" s="10" t="str">
        <f aca="false">IF($B179="","",IF($D179="","未還","已還"))</f>
        <v>已還</v>
      </c>
    </row>
    <row r="180" customFormat="false" ht="15" hidden="false" customHeight="false" outlineLevel="0" collapsed="false">
      <c r="A180" s="7" t="s">
        <v>160</v>
      </c>
      <c r="B180" s="7" t="s">
        <v>52</v>
      </c>
      <c r="C180" s="8" t="n">
        <v>45781</v>
      </c>
      <c r="D180" s="8" t="n">
        <v>45789</v>
      </c>
      <c r="E180" s="9" t="str">
        <f aca="false">IF($B180="","",IFERROR(INDEX(書籍!$B$2:$B$2000,MATCH($B180,書籍!$A$2:$A$2000,0)),"（沒建檔）"))</f>
        <v>十二個河</v>
      </c>
      <c r="F180" s="9" t="str">
        <f aca="false">IF($A180="","",IFERROR(INDEX(會員!$B$2:$B$2000,MATCH($A180,會員!$A$2:$A$2000,0)),"（沒建檔）"))</f>
        <v>張季軒</v>
      </c>
      <c r="G180" s="10" t="str">
        <f aca="false">IF($B180="","",IF($D180="","未還","已還"))</f>
        <v>已還</v>
      </c>
    </row>
    <row r="181" customFormat="false" ht="15" hidden="false" customHeight="false" outlineLevel="0" collapsed="false">
      <c r="A181" s="7" t="s">
        <v>122</v>
      </c>
      <c r="B181" s="7" t="s">
        <v>96</v>
      </c>
      <c r="C181" s="8" t="n">
        <v>45782</v>
      </c>
      <c r="D181" s="8" t="n">
        <v>45802</v>
      </c>
      <c r="E181" s="9" t="str">
        <f aca="false">IF($B181="","",IFERROR(INDEX(書籍!$B$2:$B$2000,MATCH($B181,書籍!$A$2:$A$2000,0)),"（沒建檔）"))</f>
        <v>看不見的信</v>
      </c>
      <c r="F181" s="9" t="str">
        <f aca="false">IF($A181="","",IFERROR(INDEX(會員!$B$2:$B$2000,MATCH($A181,會員!$A$2:$A$2000,0)),"（沒建檔）"))</f>
        <v>周彥廷</v>
      </c>
      <c r="G181" s="10" t="str">
        <f aca="false">IF($B181="","",IF($D181="","未還","已還"))</f>
        <v>已還</v>
      </c>
    </row>
    <row r="182" customFormat="false" ht="15" hidden="false" customHeight="false" outlineLevel="0" collapsed="false">
      <c r="A182" s="7" t="s">
        <v>130</v>
      </c>
      <c r="B182" s="7" t="s">
        <v>158</v>
      </c>
      <c r="C182" s="8" t="n">
        <v>45782</v>
      </c>
      <c r="D182" s="8" t="n">
        <v>45812</v>
      </c>
      <c r="E182" s="9" t="str">
        <f aca="false">IF($B182="","",IFERROR(INDEX(書籍!$B$2:$B$2000,MATCH($B182,書籍!$A$2:$A$2000,0)),"（沒建檔）"))</f>
        <v>遺失的鋼琴師</v>
      </c>
      <c r="F182" s="9" t="str">
        <f aca="false">IF($A182="","",IFERROR(INDEX(會員!$B$2:$B$2000,MATCH($A182,會員!$A$2:$A$2000,0)),"（沒建檔）"))</f>
        <v>林子涵</v>
      </c>
      <c r="G182" s="10" t="str">
        <f aca="false">IF($B182="","",IF($D182="","未還","已還"))</f>
        <v>已還</v>
      </c>
    </row>
    <row r="183" customFormat="false" ht="15" hidden="false" customHeight="false" outlineLevel="0" collapsed="false">
      <c r="A183" s="7" t="s">
        <v>37</v>
      </c>
      <c r="B183" s="7" t="s">
        <v>39</v>
      </c>
      <c r="C183" s="8" t="n">
        <v>45782</v>
      </c>
      <c r="D183" s="8" t="n">
        <v>45804</v>
      </c>
      <c r="E183" s="9" t="str">
        <f aca="false">IF($B183="","",IFERROR(INDEX(書籍!$B$2:$B$2000,MATCH($B183,書籍!$A$2:$A$2000,0)),"（沒建檔）"))</f>
        <v>看不見的花園</v>
      </c>
      <c r="F183" s="9" t="str">
        <f aca="false">IF($A183="","",IFERROR(INDEX(會員!$B$2:$B$2000,MATCH($A183,會員!$A$2:$A$2000,0)),"（沒建檔）"))</f>
        <v>郭芷萱</v>
      </c>
      <c r="G183" s="10" t="str">
        <f aca="false">IF($B183="","",IF($D183="","未還","已還"))</f>
        <v>已還</v>
      </c>
    </row>
    <row r="184" customFormat="false" ht="15" hidden="false" customHeight="false" outlineLevel="0" collapsed="false">
      <c r="A184" s="7" t="s">
        <v>66</v>
      </c>
      <c r="B184" s="7" t="s">
        <v>73</v>
      </c>
      <c r="C184" s="8" t="n">
        <v>45782</v>
      </c>
      <c r="D184" s="8" t="n">
        <v>45786</v>
      </c>
      <c r="E184" s="9" t="str">
        <f aca="false">IF($B184="","",IFERROR(INDEX(書籍!$B$2:$B$2000,MATCH($B184,書籍!$A$2:$A$2000,0)),"（沒建檔）"))</f>
        <v>海邊的森林</v>
      </c>
      <c r="F184" s="9" t="str">
        <f aca="false">IF($A184="","",IFERROR(INDEX(會員!$B$2:$B$2000,MATCH($A184,會員!$A$2:$A$2000,0)),"（沒建檔）"))</f>
        <v>郭柏翰</v>
      </c>
      <c r="G184" s="10" t="str">
        <f aca="false">IF($B184="","",IF($D184="","未還","已還"))</f>
        <v>已還</v>
      </c>
    </row>
    <row r="185" customFormat="false" ht="15" hidden="false" customHeight="false" outlineLevel="0" collapsed="false">
      <c r="A185" s="7" t="s">
        <v>130</v>
      </c>
      <c r="B185" s="7" t="s">
        <v>84</v>
      </c>
      <c r="C185" s="8" t="n">
        <v>45782</v>
      </c>
      <c r="D185" s="8" t="n">
        <v>45792</v>
      </c>
      <c r="E185" s="9" t="str">
        <f aca="false">IF($B185="","",IFERROR(INDEX(書籍!$B$2:$B$2000,MATCH($B185,書籍!$A$2:$A$2000,0)),"（沒建檔）"))</f>
        <v>微小的郵差</v>
      </c>
      <c r="F185" s="9" t="str">
        <f aca="false">IF($A185="","",IFERROR(INDEX(會員!$B$2:$B$2000,MATCH($A185,會員!$A$2:$A$2000,0)),"（沒建檔）"))</f>
        <v>林子涵</v>
      </c>
      <c r="G185" s="10" t="str">
        <f aca="false">IF($B185="","",IF($D185="","未還","已還"))</f>
        <v>已還</v>
      </c>
    </row>
    <row r="186" customFormat="false" ht="15" hidden="false" customHeight="false" outlineLevel="0" collapsed="false">
      <c r="A186" s="7" t="s">
        <v>58</v>
      </c>
      <c r="B186" s="7" t="s">
        <v>105</v>
      </c>
      <c r="C186" s="8" t="n">
        <v>45783</v>
      </c>
      <c r="D186" s="8" t="n">
        <v>45811</v>
      </c>
      <c r="E186" s="9" t="str">
        <f aca="false">IF($B186="","",IFERROR(INDEX(書籍!$B$2:$B$2000,MATCH($B186,書籍!$A$2:$A$2000,0)),"（沒建檔）"))</f>
        <v>月球旅人</v>
      </c>
      <c r="F186" s="9" t="str">
        <f aca="false">IF($A186="","",IFERROR(INDEX(會員!$B$2:$B$2000,MATCH($A186,會員!$A$2:$A$2000,0)),"（沒建檔）"))</f>
        <v>賴思妤</v>
      </c>
      <c r="G186" s="10" t="str">
        <f aca="false">IF($B186="","",IF($D186="","未還","已還"))</f>
        <v>已還</v>
      </c>
    </row>
    <row r="187" customFormat="false" ht="15" hidden="false" customHeight="false" outlineLevel="0" collapsed="false">
      <c r="A187" s="7" t="s">
        <v>130</v>
      </c>
      <c r="B187" s="7" t="s">
        <v>103</v>
      </c>
      <c r="C187" s="8" t="n">
        <v>45783</v>
      </c>
      <c r="D187" s="8" t="n">
        <v>45794</v>
      </c>
      <c r="E187" s="9" t="str">
        <f aca="false">IF($B187="","",IFERROR(INDEX(書籍!$B$2:$B$2000,MATCH($B187,書籍!$A$2:$A$2000,0)),"（沒建檔）"))</f>
        <v>藍色約定</v>
      </c>
      <c r="F187" s="9" t="str">
        <f aca="false">IF($A187="","",IFERROR(INDEX(會員!$B$2:$B$2000,MATCH($A187,會員!$A$2:$A$2000,0)),"（沒建檔）"))</f>
        <v>林子涵</v>
      </c>
      <c r="G187" s="10" t="str">
        <f aca="false">IF($B187="","",IF($D187="","未還","已還"))</f>
        <v>已還</v>
      </c>
    </row>
    <row r="188" customFormat="false" ht="15" hidden="false" customHeight="false" outlineLevel="0" collapsed="false">
      <c r="A188" s="7" t="s">
        <v>154</v>
      </c>
      <c r="B188" s="7" t="s">
        <v>139</v>
      </c>
      <c r="C188" s="8" t="n">
        <v>45784</v>
      </c>
      <c r="D188" s="8" t="n">
        <v>45796</v>
      </c>
      <c r="E188" s="9" t="str">
        <f aca="false">IF($B188="","",IFERROR(INDEX(書籍!$B$2:$B$2000,MATCH($B188,書籍!$A$2:$A$2000,0)),"（沒建檔）"))</f>
        <v>十二個島</v>
      </c>
      <c r="F188" s="9" t="str">
        <f aca="false">IF($A188="","",IFERROR(INDEX(會員!$B$2:$B$2000,MATCH($A188,會員!$A$2:$A$2000,0)),"（沒建檔）"))</f>
        <v>陳雅婷</v>
      </c>
      <c r="G188" s="10" t="str">
        <f aca="false">IF($B188="","",IF($D188="","未還","已還"))</f>
        <v>已還</v>
      </c>
    </row>
    <row r="189" customFormat="false" ht="15" hidden="false" customHeight="false" outlineLevel="0" collapsed="false">
      <c r="A189" s="7" t="s">
        <v>113</v>
      </c>
      <c r="B189" s="7" t="s">
        <v>144</v>
      </c>
      <c r="C189" s="8" t="n">
        <v>45784</v>
      </c>
      <c r="D189" s="8" t="n">
        <v>45793</v>
      </c>
      <c r="E189" s="9" t="str">
        <f aca="false">IF($B189="","",IFERROR(INDEX(書籍!$B$2:$B$2000,MATCH($B189,書籍!$A$2:$A$2000,0)),"（沒建檔）"))</f>
        <v>小鎮偵探</v>
      </c>
      <c r="F189" s="9" t="str">
        <f aca="false">IF($A189="","",IFERROR(INDEX(會員!$B$2:$B$2000,MATCH($A189,會員!$A$2:$A$2000,0)),"（沒建檔）"))</f>
        <v>謝子涵</v>
      </c>
      <c r="G189" s="10" t="str">
        <f aca="false">IF($B189="","",IF($D189="","未還","已還"))</f>
        <v>已還</v>
      </c>
    </row>
    <row r="190" customFormat="false" ht="15" hidden="false" customHeight="false" outlineLevel="0" collapsed="false">
      <c r="A190" s="7" t="s">
        <v>26</v>
      </c>
      <c r="B190" s="7" t="s">
        <v>55</v>
      </c>
      <c r="C190" s="8" t="n">
        <v>45785</v>
      </c>
      <c r="D190" s="8" t="n">
        <v>45814</v>
      </c>
      <c r="E190" s="9" t="str">
        <f aca="false">IF($B190="","",IFERROR(INDEX(書籍!$B$2:$B$2000,MATCH($B190,書籍!$A$2:$A$2000,0)),"（沒建檔）"))</f>
        <v>漫長的鐘樓</v>
      </c>
      <c r="F190" s="9" t="str">
        <f aca="false">IF($A190="","",IFERROR(INDEX(會員!$B$2:$B$2000,MATCH($A190,會員!$A$2:$A$2000,0)),"（沒建檔）"))</f>
        <v>曾淑芬</v>
      </c>
      <c r="G190" s="10" t="str">
        <f aca="false">IF($B190="","",IF($D190="","未還","已還"))</f>
        <v>已還</v>
      </c>
    </row>
    <row r="191" customFormat="false" ht="15" hidden="false" customHeight="false" outlineLevel="0" collapsed="false">
      <c r="A191" s="7" t="s">
        <v>95</v>
      </c>
      <c r="B191" s="7" t="s">
        <v>100</v>
      </c>
      <c r="C191" s="8" t="n">
        <v>45787</v>
      </c>
      <c r="D191" s="8" t="n">
        <v>45793</v>
      </c>
      <c r="E191" s="9" t="str">
        <f aca="false">IF($B191="","",IFERROR(INDEX(書籍!$B$2:$B$2000,MATCH($B191,書籍!$A$2:$A$2000,0)),"（沒建檔）"))</f>
        <v>小鎮咖啡館</v>
      </c>
      <c r="F191" s="9" t="str">
        <f aca="false">IF($A191="","",IFERROR(INDEX(會員!$B$2:$B$2000,MATCH($A191,會員!$A$2:$A$2000,0)),"（沒建檔）"))</f>
        <v>邱承翰</v>
      </c>
      <c r="G191" s="10" t="str">
        <f aca="false">IF($B191="","",IF($D191="","未還","已還"))</f>
        <v>已還</v>
      </c>
    </row>
    <row r="192" customFormat="false" ht="15" hidden="false" customHeight="false" outlineLevel="0" collapsed="false">
      <c r="A192" s="7" t="s">
        <v>160</v>
      </c>
      <c r="B192" s="7" t="s">
        <v>89</v>
      </c>
      <c r="C192" s="8" t="n">
        <v>45788</v>
      </c>
      <c r="D192" s="8" t="n">
        <v>45810</v>
      </c>
      <c r="E192" s="9" t="str">
        <f aca="false">IF($B192="","",IFERROR(INDEX(書籍!$B$2:$B$2000,MATCH($B192,書籍!$A$2:$A$2000,0)),"（沒建檔）"))</f>
        <v>漫長的季節</v>
      </c>
      <c r="F192" s="9" t="str">
        <f aca="false">IF($A192="","",IFERROR(INDEX(會員!$B$2:$B$2000,MATCH($A192,會員!$A$2:$A$2000,0)),"（沒建檔）"))</f>
        <v>張季軒</v>
      </c>
      <c r="G192" s="10" t="str">
        <f aca="false">IF($B192="","",IF($D192="","未還","已還"))</f>
        <v>已還</v>
      </c>
    </row>
    <row r="193" customFormat="false" ht="15" hidden="false" customHeight="false" outlineLevel="0" collapsed="false">
      <c r="A193" s="7" t="s">
        <v>66</v>
      </c>
      <c r="B193" s="7" t="s">
        <v>119</v>
      </c>
      <c r="C193" s="8" t="n">
        <v>45789</v>
      </c>
      <c r="D193" s="8" t="n">
        <v>45811</v>
      </c>
      <c r="E193" s="9" t="str">
        <f aca="false">IF($B193="","",IFERROR(INDEX(書籍!$B$2:$B$2000,MATCH($B193,書籍!$A$2:$A$2000,0)),"（沒建檔）"))</f>
        <v>藍色河</v>
      </c>
      <c r="F193" s="9" t="str">
        <f aca="false">IF($A193="","",IFERROR(INDEX(會員!$B$2:$B$2000,MATCH($A193,會員!$A$2:$A$2000,0)),"（沒建檔）"))</f>
        <v>郭柏翰</v>
      </c>
      <c r="G193" s="10" t="str">
        <f aca="false">IF($B193="","",IF($D193="","未還","已還"))</f>
        <v>已還</v>
      </c>
    </row>
    <row r="194" customFormat="false" ht="15" hidden="false" customHeight="false" outlineLevel="0" collapsed="false">
      <c r="A194" s="7" t="s">
        <v>22</v>
      </c>
      <c r="B194" s="7" t="s">
        <v>152</v>
      </c>
      <c r="C194" s="8" t="n">
        <v>45792</v>
      </c>
      <c r="D194" s="8" t="n">
        <v>45820</v>
      </c>
      <c r="E194" s="9" t="str">
        <f aca="false">IF($B194="","",IFERROR(INDEX(書籍!$B$2:$B$2000,MATCH($B194,書籍!$A$2:$A$2000,0)),"（沒建檔）"))</f>
        <v>看不見的鋼琴師</v>
      </c>
      <c r="F194" s="9" t="str">
        <f aca="false">IF($A194="","",IFERROR(INDEX(會員!$B$2:$B$2000,MATCH($A194,會員!$A$2:$A$2000,0)),"（沒建檔）"))</f>
        <v>王思妤</v>
      </c>
      <c r="G194" s="10" t="str">
        <f aca="false">IF($B194="","",IF($D194="","未還","已還"))</f>
        <v>已還</v>
      </c>
    </row>
    <row r="195" customFormat="false" ht="15" hidden="false" customHeight="false" outlineLevel="0" collapsed="false">
      <c r="A195" s="7" t="s">
        <v>72</v>
      </c>
      <c r="B195" s="7" t="s">
        <v>83</v>
      </c>
      <c r="C195" s="8" t="n">
        <v>45792</v>
      </c>
      <c r="D195" s="8" t="n">
        <v>45797</v>
      </c>
      <c r="E195" s="9" t="str">
        <f aca="false">IF($B195="","",IFERROR(INDEX(書籍!$B$2:$B$2000,MATCH($B195,書籍!$A$2:$A$2000,0)),"（沒建檔）"))</f>
        <v>北方信</v>
      </c>
      <c r="F195" s="9" t="str">
        <f aca="false">IF($A195="","",IFERROR(INDEX(會員!$B$2:$B$2000,MATCH($A195,會員!$A$2:$A$2000,0)),"（沒建檔）"))</f>
        <v>蔡季軒</v>
      </c>
      <c r="G195" s="10" t="str">
        <f aca="false">IF($B195="","",IF($D195="","未還","已還"))</f>
        <v>已還</v>
      </c>
    </row>
    <row r="196" customFormat="false" ht="15" hidden="false" customHeight="false" outlineLevel="0" collapsed="false">
      <c r="A196" s="7" t="s">
        <v>30</v>
      </c>
      <c r="B196" s="7" t="s">
        <v>36</v>
      </c>
      <c r="C196" s="8" t="n">
        <v>45792</v>
      </c>
      <c r="D196" s="8" t="n">
        <v>45794</v>
      </c>
      <c r="E196" s="9" t="str">
        <f aca="false">IF($B196="","",IFERROR(INDEX(書籍!$B$2:$B$2000,MATCH($B196,書籍!$A$2:$A$2000,0)),"（沒建檔）"))</f>
        <v>紙上的鋼琴師</v>
      </c>
      <c r="F196" s="9" t="str">
        <f aca="false">IF($A196="","",IFERROR(INDEX(會員!$B$2:$B$2000,MATCH($A196,會員!$A$2:$A$2000,0)),"（沒建檔）"))</f>
        <v>吳芃穎</v>
      </c>
      <c r="G196" s="10" t="str">
        <f aca="false">IF($B196="","",IF($D196="","未還","已還"))</f>
        <v>已還</v>
      </c>
    </row>
    <row r="197" customFormat="false" ht="15" hidden="false" customHeight="false" outlineLevel="0" collapsed="false">
      <c r="A197" s="7" t="s">
        <v>30</v>
      </c>
      <c r="B197" s="7" t="s">
        <v>31</v>
      </c>
      <c r="C197" s="8" t="n">
        <v>45792</v>
      </c>
      <c r="D197" s="8" t="n">
        <v>45804</v>
      </c>
      <c r="E197" s="9" t="str">
        <f aca="false">IF($B197="","",IFERROR(INDEX(書籍!$B$2:$B$2000,MATCH($B197,書籍!$A$2:$A$2000,0)),"（沒建檔）"))</f>
        <v>沉默的鋼琴師</v>
      </c>
      <c r="F197" s="9" t="str">
        <f aca="false">IF($A197="","",IFERROR(INDEX(會員!$B$2:$B$2000,MATCH($A197,會員!$A$2:$A$2000,0)),"（沒建檔）"))</f>
        <v>吳芃穎</v>
      </c>
      <c r="G197" s="10" t="str">
        <f aca="false">IF($B197="","",IF($D197="","未還","已還"))</f>
        <v>已還</v>
      </c>
    </row>
    <row r="198" customFormat="false" ht="15" hidden="false" customHeight="false" outlineLevel="0" collapsed="false">
      <c r="A198" s="7" t="s">
        <v>44</v>
      </c>
      <c r="B198" s="7" t="s">
        <v>67</v>
      </c>
      <c r="C198" s="8" t="n">
        <v>45794</v>
      </c>
      <c r="D198" s="8" t="n">
        <v>45795</v>
      </c>
      <c r="E198" s="9" t="str">
        <f aca="false">IF($B198="","",IFERROR(INDEX(書籍!$B$2:$B$2000,MATCH($B198,書籍!$A$2:$A$2000,0)),"（沒建檔）"))</f>
        <v>最後一個祕密</v>
      </c>
      <c r="F198" s="9" t="str">
        <f aca="false">IF($A198="","",IFERROR(INDEX(會員!$B$2:$B$2000,MATCH($A198,會員!$A$2:$A$2000,0)),"（沒建檔）"))</f>
        <v>郭柏翰</v>
      </c>
      <c r="G198" s="10" t="str">
        <f aca="false">IF($B198="","",IF($D198="","未還","已還"))</f>
        <v>已還</v>
      </c>
    </row>
    <row r="199" customFormat="false" ht="15" hidden="false" customHeight="false" outlineLevel="0" collapsed="false">
      <c r="A199" s="7" t="s">
        <v>99</v>
      </c>
      <c r="B199" s="7" t="s">
        <v>52</v>
      </c>
      <c r="C199" s="8" t="n">
        <v>45794</v>
      </c>
      <c r="D199" s="8" t="n">
        <v>45806</v>
      </c>
      <c r="E199" s="9" t="str">
        <f aca="false">IF($B199="","",IFERROR(INDEX(書籍!$B$2:$B$2000,MATCH($B199,書籍!$A$2:$A$2000,0)),"（沒建檔）"))</f>
        <v>十二個河</v>
      </c>
      <c r="F199" s="9" t="str">
        <f aca="false">IF($A199="","",IFERROR(INDEX(會員!$B$2:$B$2000,MATCH($A199,會員!$A$2:$A$2000,0)),"（沒建檔）"))</f>
        <v>王芷萱</v>
      </c>
      <c r="G199" s="10" t="str">
        <f aca="false">IF($B199="","",IF($D199="","未還","已還"))</f>
        <v>已還</v>
      </c>
    </row>
    <row r="200" customFormat="false" ht="15" hidden="false" customHeight="false" outlineLevel="0" collapsed="false">
      <c r="A200" s="7" t="s">
        <v>26</v>
      </c>
      <c r="B200" s="7" t="s">
        <v>114</v>
      </c>
      <c r="C200" s="8" t="n">
        <v>45795</v>
      </c>
      <c r="D200" s="8" t="n">
        <v>45804</v>
      </c>
      <c r="E200" s="9" t="str">
        <f aca="false">IF($B200="","",IFERROR(INDEX(書籍!$B$2:$B$2000,MATCH($B200,書籍!$A$2:$A$2000,0)),"（沒建檔）"))</f>
        <v>漫長的偵探</v>
      </c>
      <c r="F200" s="9" t="str">
        <f aca="false">IF($A200="","",IFERROR(INDEX(會員!$B$2:$B$2000,MATCH($A200,會員!$A$2:$A$2000,0)),"（沒建檔）"))</f>
        <v>曾淑芬</v>
      </c>
      <c r="G200" s="10" t="str">
        <f aca="false">IF($B200="","",IF($D200="","未還","已還"))</f>
        <v>已還</v>
      </c>
    </row>
    <row r="201" customFormat="false" ht="15" hidden="false" customHeight="false" outlineLevel="0" collapsed="false">
      <c r="A201" s="7" t="s">
        <v>130</v>
      </c>
      <c r="B201" s="7" t="s">
        <v>62</v>
      </c>
      <c r="C201" s="8" t="n">
        <v>45796</v>
      </c>
      <c r="D201" s="8" t="n">
        <v>45810</v>
      </c>
      <c r="E201" s="9" t="str">
        <f aca="false">IF($B201="","",IFERROR(INDEX(書籍!$B$2:$B$2000,MATCH($B201,書籍!$A$2:$A$2000,0)),"（沒建檔）"))</f>
        <v>海邊的貓</v>
      </c>
      <c r="F201" s="9" t="str">
        <f aca="false">IF($A201="","",IFERROR(INDEX(會員!$B$2:$B$2000,MATCH($A201,會員!$A$2:$A$2000,0)),"（沒建檔）"))</f>
        <v>林子涵</v>
      </c>
      <c r="G201" s="10" t="str">
        <f aca="false">IF($B201="","",IF($D201="","未還","已還"))</f>
        <v>已還</v>
      </c>
    </row>
    <row r="202" customFormat="false" ht="15" hidden="false" customHeight="false" outlineLevel="0" collapsed="false">
      <c r="A202" s="7" t="s">
        <v>93</v>
      </c>
      <c r="B202" s="7" t="s">
        <v>78</v>
      </c>
      <c r="C202" s="8" t="n">
        <v>45796</v>
      </c>
      <c r="D202" s="8" t="n">
        <v>45802</v>
      </c>
      <c r="E202" s="9" t="str">
        <f aca="false">IF($B202="","",IFERROR(INDEX(書籍!$B$2:$B$2000,MATCH($B202,書籍!$A$2:$A$2000,0)),"（沒建檔）"))</f>
        <v>冬季約定</v>
      </c>
      <c r="F202" s="9" t="str">
        <f aca="false">IF($A202="","",IFERROR(INDEX(會員!$B$2:$B$2000,MATCH($A202,會員!$A$2:$A$2000,0)),"（沒建檔）"))</f>
        <v>邱沐恩</v>
      </c>
      <c r="G202" s="10" t="str">
        <f aca="false">IF($B202="","",IF($D202="","未還","已還"))</f>
        <v>已還</v>
      </c>
    </row>
    <row r="203" customFormat="false" ht="15" hidden="false" customHeight="false" outlineLevel="0" collapsed="false">
      <c r="A203" s="7" t="s">
        <v>54</v>
      </c>
      <c r="B203" s="7" t="s">
        <v>61</v>
      </c>
      <c r="C203" s="8" t="n">
        <v>45798</v>
      </c>
      <c r="D203" s="8" t="n">
        <v>45814</v>
      </c>
      <c r="E203" s="9" t="str">
        <f aca="false">IF($B203="","",IFERROR(INDEX(書籍!$B$2:$B$2000,MATCH($B203,書籍!$A$2:$A$2000,0)),"（沒建檔）"))</f>
        <v>沉默的廚房</v>
      </c>
      <c r="F203" s="9" t="str">
        <f aca="false">IF($A203="","",IFERROR(INDEX(會員!$B$2:$B$2000,MATCH($A203,會員!$A$2:$A$2000,0)),"（沒建檔）"))</f>
        <v>洪季軒</v>
      </c>
      <c r="G203" s="10" t="str">
        <f aca="false">IF($B203="","",IF($D203="","未還","已還"))</f>
        <v>已還</v>
      </c>
    </row>
    <row r="204" customFormat="false" ht="15" hidden="false" customHeight="false" outlineLevel="0" collapsed="false">
      <c r="A204" s="7" t="s">
        <v>77</v>
      </c>
      <c r="B204" s="7" t="s">
        <v>41</v>
      </c>
      <c r="C204" s="8" t="n">
        <v>45799</v>
      </c>
      <c r="D204" s="8" t="n">
        <v>45801</v>
      </c>
      <c r="E204" s="9" t="str">
        <f aca="false">IF($B204="","",IFERROR(INDEX(書籍!$B$2:$B$2000,MATCH($B204,書籍!$A$2:$A$2000,0)),"（沒建檔）"))</f>
        <v>轉角夏天</v>
      </c>
      <c r="F204" s="9" t="str">
        <f aca="false">IF($A204="","",IFERROR(INDEX(會員!$B$2:$B$2000,MATCH($A204,會員!$A$2:$A$2000,0)),"（沒建檔）"))</f>
        <v>吳柏翰</v>
      </c>
      <c r="G204" s="10" t="str">
        <f aca="false">IF($B204="","",IF($D204="","未還","已還"))</f>
        <v>已還</v>
      </c>
    </row>
    <row r="205" customFormat="false" ht="15" hidden="false" customHeight="false" outlineLevel="0" collapsed="false">
      <c r="A205" s="7" t="s">
        <v>77</v>
      </c>
      <c r="B205" s="7" t="s">
        <v>71</v>
      </c>
      <c r="C205" s="8" t="n">
        <v>45799</v>
      </c>
      <c r="D205" s="8" t="n">
        <v>45829</v>
      </c>
      <c r="E205" s="9" t="str">
        <f aca="false">IF($B205="","",IFERROR(INDEX(書籍!$B$2:$B$2000,MATCH($B205,書籍!$A$2:$A$2000,0)),"（沒建檔）"))</f>
        <v>深夜的手記</v>
      </c>
      <c r="F205" s="9" t="str">
        <f aca="false">IF($A205="","",IFERROR(INDEX(會員!$B$2:$B$2000,MATCH($A205,會員!$A$2:$A$2000,0)),"（沒建檔）"))</f>
        <v>吳柏翰</v>
      </c>
      <c r="G205" s="10" t="str">
        <f aca="false">IF($B205="","",IF($D205="","未還","已還"))</f>
        <v>已還</v>
      </c>
    </row>
    <row r="206" customFormat="false" ht="15" hidden="false" customHeight="false" outlineLevel="0" collapsed="false">
      <c r="A206" s="7" t="s">
        <v>49</v>
      </c>
      <c r="B206" s="7" t="s">
        <v>117</v>
      </c>
      <c r="C206" s="8" t="n">
        <v>45800</v>
      </c>
      <c r="D206" s="8" t="n">
        <v>45807</v>
      </c>
      <c r="E206" s="9" t="str">
        <f aca="false">IF($B206="","",IFERROR(INDEX(書籍!$B$2:$B$2000,MATCH($B206,書籍!$A$2:$A$2000,0)),"（沒建檔）"))</f>
        <v>兩個人的偵探</v>
      </c>
      <c r="F206" s="9" t="str">
        <f aca="false">IF($A206="","",IFERROR(INDEX(會員!$B$2:$B$2000,MATCH($A206,會員!$A$2:$A$2000,0)),"（沒建檔）"))</f>
        <v>張宜庭</v>
      </c>
      <c r="G206" s="10" t="str">
        <f aca="false">IF($B206="","",IF($D206="","未還","已還"))</f>
        <v>已還</v>
      </c>
    </row>
    <row r="207" customFormat="false" ht="15" hidden="false" customHeight="false" outlineLevel="0" collapsed="false">
      <c r="A207" s="7" t="s">
        <v>24</v>
      </c>
      <c r="B207" s="7" t="s">
        <v>111</v>
      </c>
      <c r="C207" s="8" t="n">
        <v>45801</v>
      </c>
      <c r="D207" s="8" t="n">
        <v>45830</v>
      </c>
      <c r="E207" s="9" t="str">
        <f aca="false">IF($B207="","",IFERROR(INDEX(書籍!$B$2:$B$2000,MATCH($B207,書籍!$A$2:$A$2000,0)),"（沒建檔）"))</f>
        <v>雨中燈塔</v>
      </c>
      <c r="F207" s="9" t="str">
        <f aca="false">IF($A207="","",IFERROR(INDEX(會員!$B$2:$B$2000,MATCH($A207,會員!$A$2:$A$2000,0)),"（沒建檔）"))</f>
        <v>吳雅婷</v>
      </c>
      <c r="G207" s="10" t="str">
        <f aca="false">IF($B207="","",IF($D207="","未還","已還"))</f>
        <v>已還</v>
      </c>
    </row>
    <row r="208" customFormat="false" ht="15" hidden="false" customHeight="false" outlineLevel="0" collapsed="false">
      <c r="A208" s="7" t="s">
        <v>160</v>
      </c>
      <c r="B208" s="7" t="s">
        <v>88</v>
      </c>
      <c r="C208" s="8" t="n">
        <v>45802</v>
      </c>
      <c r="D208" s="8" t="n">
        <v>45811</v>
      </c>
      <c r="E208" s="9" t="str">
        <f aca="false">IF($B208="","",IFERROR(INDEX(書籍!$B$2:$B$2000,MATCH($B208,書籍!$A$2:$A$2000,0)),"（沒建檔）"))</f>
        <v>地下室鋼琴師</v>
      </c>
      <c r="F208" s="9" t="str">
        <f aca="false">IF($A208="","",IFERROR(INDEX(會員!$B$2:$B$2000,MATCH($A208,會員!$A$2:$A$2000,0)),"（沒建檔）"))</f>
        <v>張季軒</v>
      </c>
      <c r="G208" s="10" t="str">
        <f aca="false">IF($B208="","",IF($D208="","未還","已還"))</f>
        <v>已還</v>
      </c>
    </row>
    <row r="209" customFormat="false" ht="15" hidden="false" customHeight="false" outlineLevel="0" collapsed="false">
      <c r="A209" s="7" t="s">
        <v>40</v>
      </c>
      <c r="B209" s="7" t="s">
        <v>121</v>
      </c>
      <c r="C209" s="8" t="n">
        <v>45802</v>
      </c>
      <c r="D209" s="8" t="n">
        <v>45819</v>
      </c>
      <c r="E209" s="9" t="str">
        <f aca="false">IF($B209="","",IFERROR(INDEX(書籍!$B$2:$B$2000,MATCH($B209,書籍!$A$2:$A$2000,0)),"（沒建檔）"))</f>
        <v>轉角夏天</v>
      </c>
      <c r="F209" s="9" t="str">
        <f aca="false">IF($A209="","",IFERROR(INDEX(會員!$B$2:$B$2000,MATCH($A209,會員!$A$2:$A$2000,0)),"（沒建檔）"))</f>
        <v>賴佩珊</v>
      </c>
      <c r="G209" s="10" t="str">
        <f aca="false">IF($B209="","",IF($D209="","未還","已還"))</f>
        <v>已還</v>
      </c>
    </row>
    <row r="210" customFormat="false" ht="15" hidden="false" customHeight="false" outlineLevel="0" collapsed="false">
      <c r="A210" s="7" t="s">
        <v>101</v>
      </c>
      <c r="B210" s="7" t="s">
        <v>153</v>
      </c>
      <c r="C210" s="8" t="n">
        <v>45802</v>
      </c>
      <c r="D210" s="8" t="n">
        <v>45823</v>
      </c>
      <c r="E210" s="9" t="str">
        <f aca="false">IF($B210="","",IFERROR(INDEX(書籍!$B$2:$B$2000,MATCH($B210,書籍!$A$2:$A$2000,0)),"（沒建檔）"))</f>
        <v>地下室夏天</v>
      </c>
      <c r="F210" s="9" t="str">
        <f aca="false">IF($A210="","",IFERROR(INDEX(會員!$B$2:$B$2000,MATCH($A210,會員!$A$2:$A$2000,0)),"（沒建檔）"))</f>
        <v>曾志明</v>
      </c>
      <c r="G210" s="10" t="str">
        <f aca="false">IF($B210="","",IF($D210="","未還","已還"))</f>
        <v>已還</v>
      </c>
    </row>
    <row r="211" customFormat="false" ht="15" hidden="false" customHeight="false" outlineLevel="0" collapsed="false">
      <c r="A211" s="7" t="s">
        <v>37</v>
      </c>
      <c r="B211" s="7" t="s">
        <v>128</v>
      </c>
      <c r="C211" s="8" t="n">
        <v>45804</v>
      </c>
      <c r="D211" s="8" t="n">
        <v>45805</v>
      </c>
      <c r="E211" s="9" t="str">
        <f aca="false">IF($B211="","",IFERROR(INDEX(書籍!$B$2:$B$2000,MATCH($B211,書籍!$A$2:$A$2000,0)),"（沒建檔）"))</f>
        <v>地下室夏天</v>
      </c>
      <c r="F211" s="9" t="str">
        <f aca="false">IF($A211="","",IFERROR(INDEX(會員!$B$2:$B$2000,MATCH($A211,會員!$A$2:$A$2000,0)),"（沒建檔）"))</f>
        <v>郭芷萱</v>
      </c>
      <c r="G211" s="10" t="str">
        <f aca="false">IF($B211="","",IF($D211="","未還","已還"))</f>
        <v>已還</v>
      </c>
    </row>
    <row r="212" customFormat="false" ht="15" hidden="false" customHeight="false" outlineLevel="0" collapsed="false">
      <c r="A212" s="7" t="s">
        <v>68</v>
      </c>
      <c r="B212" s="7" t="s">
        <v>149</v>
      </c>
      <c r="C212" s="8" t="n">
        <v>45805</v>
      </c>
      <c r="D212" s="8" t="n">
        <v>45817</v>
      </c>
      <c r="E212" s="9" t="str">
        <f aca="false">IF($B212="","",IFERROR(INDEX(書籍!$B$2:$B$2000,MATCH($B212,書籍!$A$2:$A$2000,0)),"（沒建檔）"))</f>
        <v>會說話的貓</v>
      </c>
      <c r="F212" s="9" t="str">
        <f aca="false">IF($A212="","",IFERROR(INDEX(會員!$B$2:$B$2000,MATCH($A212,會員!$A$2:$A$2000,0)),"（沒建檔）"))</f>
        <v>賴建宏</v>
      </c>
      <c r="G212" s="10" t="str">
        <f aca="false">IF($B212="","",IF($D212="","未還","已還"))</f>
        <v>已還</v>
      </c>
    </row>
    <row r="213" customFormat="false" ht="15" hidden="false" customHeight="false" outlineLevel="0" collapsed="false">
      <c r="A213" s="7" t="s">
        <v>49</v>
      </c>
      <c r="B213" s="7" t="s">
        <v>151</v>
      </c>
      <c r="C213" s="8" t="n">
        <v>45805</v>
      </c>
      <c r="D213" s="8" t="n">
        <v>45823</v>
      </c>
      <c r="E213" s="9" t="str">
        <f aca="false">IF($B213="","",IFERROR(INDEX(書籍!$B$2:$B$2000,MATCH($B213,書籍!$A$2:$A$2000,0)),"（沒建檔）"))</f>
        <v>微小的祕密</v>
      </c>
      <c r="F213" s="9" t="str">
        <f aca="false">IF($A213="","",IFERROR(INDEX(會員!$B$2:$B$2000,MATCH($A213,會員!$A$2:$A$2000,0)),"（沒建檔）"))</f>
        <v>張宜庭</v>
      </c>
      <c r="G213" s="10" t="str">
        <f aca="false">IF($B213="","",IF($D213="","未還","已還"))</f>
        <v>已還</v>
      </c>
    </row>
    <row r="214" customFormat="false" ht="15" hidden="false" customHeight="false" outlineLevel="0" collapsed="false">
      <c r="A214" s="7" t="s">
        <v>116</v>
      </c>
      <c r="B214" s="7" t="s">
        <v>47</v>
      </c>
      <c r="C214" s="8" t="n">
        <v>45808</v>
      </c>
      <c r="D214" s="8" t="n">
        <v>45837</v>
      </c>
      <c r="E214" s="9" t="str">
        <f aca="false">IF($B214="","",IFERROR(INDEX(書籍!$B$2:$B$2000,MATCH($B214,書籍!$A$2:$A$2000,0)),"（沒建檔）"))</f>
        <v>最後一個花園</v>
      </c>
      <c r="F214" s="9" t="str">
        <f aca="false">IF($A214="","",IFERROR(INDEX(會員!$B$2:$B$2000,MATCH($A214,會員!$A$2:$A$2000,0)),"（沒建檔）"))</f>
        <v>郭詠晴</v>
      </c>
      <c r="G214" s="10" t="str">
        <f aca="false">IF($B214="","",IF($D214="","未還","已還"))</f>
        <v>已還</v>
      </c>
    </row>
    <row r="215" customFormat="false" ht="15" hidden="false" customHeight="false" outlineLevel="0" collapsed="false">
      <c r="A215" s="7" t="s">
        <v>32</v>
      </c>
      <c r="B215" s="7" t="s">
        <v>76</v>
      </c>
      <c r="C215" s="8" t="n">
        <v>45809</v>
      </c>
      <c r="D215" s="8" t="n">
        <v>45820</v>
      </c>
      <c r="E215" s="9" t="str">
        <f aca="false">IF($B215="","",IFERROR(INDEX(書籍!$B$2:$B$2000,MATCH($B215,書籍!$A$2:$A$2000,0)),"（沒建檔）"))</f>
        <v>十二個鐘樓</v>
      </c>
      <c r="F215" s="9" t="str">
        <f aca="false">IF($A215="","",IFERROR(INDEX(會員!$B$2:$B$2000,MATCH($A215,會員!$A$2:$A$2000,0)),"（沒建檔）"))</f>
        <v>李子涵</v>
      </c>
      <c r="G215" s="10" t="str">
        <f aca="false">IF($B215="","",IF($D215="","未還","已還"))</f>
        <v>已還</v>
      </c>
    </row>
    <row r="216" customFormat="false" ht="15" hidden="false" customHeight="false" outlineLevel="0" collapsed="false">
      <c r="A216" s="7" t="s">
        <v>66</v>
      </c>
      <c r="B216" s="7" t="s">
        <v>45</v>
      </c>
      <c r="C216" s="8" t="n">
        <v>45809</v>
      </c>
      <c r="D216" s="8" t="n">
        <v>45827</v>
      </c>
      <c r="E216" s="9" t="str">
        <f aca="false">IF($B216="","",IFERROR(INDEX(書籍!$B$2:$B$2000,MATCH($B216,書籍!$A$2:$A$2000,0)),"（沒建檔）"))</f>
        <v>深夜的島</v>
      </c>
      <c r="F216" s="9" t="str">
        <f aca="false">IF($A216="","",IFERROR(INDEX(會員!$B$2:$B$2000,MATCH($A216,會員!$A$2:$A$2000,0)),"（沒建檔）"))</f>
        <v>郭柏翰</v>
      </c>
      <c r="G216" s="10" t="str">
        <f aca="false">IF($B216="","",IF($D216="","未還","已還"))</f>
        <v>已還</v>
      </c>
    </row>
    <row r="217" customFormat="false" ht="15" hidden="false" customHeight="false" outlineLevel="0" collapsed="false">
      <c r="A217" s="7" t="s">
        <v>44</v>
      </c>
      <c r="B217" s="7" t="s">
        <v>86</v>
      </c>
      <c r="C217" s="8" t="n">
        <v>45811</v>
      </c>
      <c r="D217" s="8" t="n">
        <v>45812</v>
      </c>
      <c r="E217" s="9" t="str">
        <f aca="false">IF($B217="","",IFERROR(INDEX(書籍!$B$2:$B$2000,MATCH($B217,書籍!$A$2:$A$2000,0)),"（沒建檔）"))</f>
        <v>遺失的地圖</v>
      </c>
      <c r="F217" s="9" t="str">
        <f aca="false">IF($A217="","",IFERROR(INDEX(會員!$B$2:$B$2000,MATCH($A217,會員!$A$2:$A$2000,0)),"（沒建檔）"))</f>
        <v>郭柏翰</v>
      </c>
      <c r="G217" s="10" t="str">
        <f aca="false">IF($B217="","",IF($D217="","未還","已還"))</f>
        <v>已還</v>
      </c>
    </row>
    <row r="218" customFormat="false" ht="15" hidden="false" customHeight="false" outlineLevel="0" collapsed="false">
      <c r="A218" s="7" t="s">
        <v>42</v>
      </c>
      <c r="B218" s="7" t="s">
        <v>29</v>
      </c>
      <c r="C218" s="8" t="n">
        <v>45813</v>
      </c>
      <c r="D218" s="8" t="n">
        <v>45829</v>
      </c>
      <c r="E218" s="9" t="str">
        <f aca="false">IF($B218="","",IFERROR(INDEX(書籍!$B$2:$B$2000,MATCH($B218,書籍!$A$2:$A$2000,0)),"（沒建檔）"))</f>
        <v>十二個廚房</v>
      </c>
      <c r="F218" s="9" t="str">
        <f aca="false">IF($A218="","",IFERROR(INDEX(會員!$B$2:$B$2000,MATCH($A218,會員!$A$2:$A$2000,0)),"（沒建檔）"))</f>
        <v>蔡宜庭</v>
      </c>
      <c r="G218" s="10" t="str">
        <f aca="false">IF($B218="","",IF($D218="","未還","已還"))</f>
        <v>已還</v>
      </c>
    </row>
    <row r="219" customFormat="false" ht="15" hidden="false" customHeight="false" outlineLevel="0" collapsed="false">
      <c r="A219" s="7" t="s">
        <v>87</v>
      </c>
      <c r="B219" s="7" t="s">
        <v>90</v>
      </c>
      <c r="C219" s="8" t="n">
        <v>45814</v>
      </c>
      <c r="D219" s="8" t="n">
        <v>45828</v>
      </c>
      <c r="E219" s="9" t="str">
        <f aca="false">IF($B219="","",IFERROR(INDEX(書籍!$B$2:$B$2000,MATCH($B219,書籍!$A$2:$A$2000,0)),"（沒建檔）"))</f>
        <v>漫長的書店</v>
      </c>
      <c r="F219" s="9" t="str">
        <f aca="false">IF($A219="","",IFERROR(INDEX(會員!$B$2:$B$2000,MATCH($A219,會員!$A$2:$A$2000,0)),"（沒建檔）"))</f>
        <v>楊芷萱</v>
      </c>
      <c r="G219" s="10" t="str">
        <f aca="false">IF($B219="","",IF($D219="","未還","已還"))</f>
        <v>已還</v>
      </c>
    </row>
    <row r="220" customFormat="false" ht="15" hidden="false" customHeight="false" outlineLevel="0" collapsed="false">
      <c r="A220" s="7" t="s">
        <v>46</v>
      </c>
      <c r="B220" s="7" t="s">
        <v>41</v>
      </c>
      <c r="C220" s="8" t="n">
        <v>45814</v>
      </c>
      <c r="D220" s="8" t="n">
        <v>45832</v>
      </c>
      <c r="E220" s="9" t="str">
        <f aca="false">IF($B220="","",IFERROR(INDEX(書籍!$B$2:$B$2000,MATCH($B220,書籍!$A$2:$A$2000,0)),"（沒建檔）"))</f>
        <v>轉角夏天</v>
      </c>
      <c r="F220" s="9" t="str">
        <f aca="false">IF($A220="","",IFERROR(INDEX(會員!$B$2:$B$2000,MATCH($A220,會員!$A$2:$A$2000,0)),"（沒建檔）"))</f>
        <v>郭思妤</v>
      </c>
      <c r="G220" s="10" t="str">
        <f aca="false">IF($B220="","",IF($D220="","未還","已還"))</f>
        <v>已還</v>
      </c>
    </row>
    <row r="221" customFormat="false" ht="15" hidden="false" customHeight="false" outlineLevel="0" collapsed="false">
      <c r="A221" s="7" t="s">
        <v>28</v>
      </c>
      <c r="B221" s="7" t="s">
        <v>102</v>
      </c>
      <c r="C221" s="8" t="n">
        <v>45814</v>
      </c>
      <c r="D221" s="8" t="n">
        <v>45837</v>
      </c>
      <c r="E221" s="9" t="str">
        <f aca="false">IF($B221="","",IFERROR(INDEX(書籍!$B$2:$B$2000,MATCH($B221,書籍!$A$2:$A$2000,0)),"（沒建檔）"))</f>
        <v>最後一個偵探</v>
      </c>
      <c r="F221" s="9" t="str">
        <f aca="false">IF($A221="","",IFERROR(INDEX(會員!$B$2:$B$2000,MATCH($A221,會員!$A$2:$A$2000,0)),"（沒建檔）"))</f>
        <v>郭妍希</v>
      </c>
      <c r="G221" s="10" t="str">
        <f aca="false">IF($B221="","",IF($D221="","未還","已還"))</f>
        <v>已還</v>
      </c>
    </row>
    <row r="222" customFormat="false" ht="15" hidden="false" customHeight="false" outlineLevel="0" collapsed="false">
      <c r="A222" s="7" t="s">
        <v>99</v>
      </c>
      <c r="B222" s="7" t="s">
        <v>128</v>
      </c>
      <c r="C222" s="8" t="n">
        <v>45814</v>
      </c>
      <c r="D222" s="8" t="n">
        <v>45834</v>
      </c>
      <c r="E222" s="9" t="str">
        <f aca="false">IF($B222="","",IFERROR(INDEX(書籍!$B$2:$B$2000,MATCH($B222,書籍!$A$2:$A$2000,0)),"（沒建檔）"))</f>
        <v>地下室夏天</v>
      </c>
      <c r="F222" s="9" t="str">
        <f aca="false">IF($A222="","",IFERROR(INDEX(會員!$B$2:$B$2000,MATCH($A222,會員!$A$2:$A$2000,0)),"（沒建檔）"))</f>
        <v>王芷萱</v>
      </c>
      <c r="G222" s="10" t="str">
        <f aca="false">IF($B222="","",IF($D222="","未還","已還"))</f>
        <v>已還</v>
      </c>
    </row>
    <row r="223" customFormat="false" ht="15" hidden="false" customHeight="false" outlineLevel="0" collapsed="false">
      <c r="A223" s="7" t="s">
        <v>58</v>
      </c>
      <c r="B223" s="7" t="s">
        <v>118</v>
      </c>
      <c r="C223" s="8" t="n">
        <v>45814</v>
      </c>
      <c r="D223" s="8" t="n">
        <v>45844</v>
      </c>
      <c r="E223" s="9" t="str">
        <f aca="false">IF($B223="","",IFERROR(INDEX(書籍!$B$2:$B$2000,MATCH($B223,書籍!$A$2:$A$2000,0)),"（沒建檔）"))</f>
        <v>地下室貓</v>
      </c>
      <c r="F223" s="9" t="str">
        <f aca="false">IF($A223="","",IFERROR(INDEX(會員!$B$2:$B$2000,MATCH($A223,會員!$A$2:$A$2000,0)),"（沒建檔）"))</f>
        <v>賴思妤</v>
      </c>
      <c r="G223" s="10" t="str">
        <f aca="false">IF($B223="","",IF($D223="","未還","已還"))</f>
        <v>已還</v>
      </c>
    </row>
    <row r="224" customFormat="false" ht="15" hidden="false" customHeight="false" outlineLevel="0" collapsed="false">
      <c r="A224" s="7" t="s">
        <v>22</v>
      </c>
      <c r="B224" s="7" t="s">
        <v>139</v>
      </c>
      <c r="C224" s="8" t="n">
        <v>45815</v>
      </c>
      <c r="D224" s="8" t="n">
        <v>45829</v>
      </c>
      <c r="E224" s="9" t="str">
        <f aca="false">IF($B224="","",IFERROR(INDEX(書籍!$B$2:$B$2000,MATCH($B224,書籍!$A$2:$A$2000,0)),"（沒建檔）"))</f>
        <v>十二個島</v>
      </c>
      <c r="F224" s="9" t="str">
        <f aca="false">IF($A224="","",IFERROR(INDEX(會員!$B$2:$B$2000,MATCH($A224,會員!$A$2:$A$2000,0)),"（沒建檔）"))</f>
        <v>王思妤</v>
      </c>
      <c r="G224" s="10" t="str">
        <f aca="false">IF($B224="","",IF($D224="","未還","已還"))</f>
        <v>已還</v>
      </c>
    </row>
    <row r="225" customFormat="false" ht="15" hidden="false" customHeight="false" outlineLevel="0" collapsed="false">
      <c r="A225" s="7" t="s">
        <v>87</v>
      </c>
      <c r="B225" s="7" t="s">
        <v>140</v>
      </c>
      <c r="C225" s="8" t="n">
        <v>45817</v>
      </c>
      <c r="D225" s="8" t="n">
        <v>45838</v>
      </c>
      <c r="E225" s="9" t="str">
        <f aca="false">IF($B225="","",IFERROR(INDEX(書籍!$B$2:$B$2000,MATCH($B225,書籍!$A$2:$A$2000,0)),"（沒建檔）"))</f>
        <v>紙上的手記</v>
      </c>
      <c r="F225" s="9" t="str">
        <f aca="false">IF($A225="","",IFERROR(INDEX(會員!$B$2:$B$2000,MATCH($A225,會員!$A$2:$A$2000,0)),"（沒建檔）"))</f>
        <v>楊芷萱</v>
      </c>
      <c r="G225" s="10" t="str">
        <f aca="false">IF($B225="","",IF($D225="","未還","已還"))</f>
        <v>已還</v>
      </c>
    </row>
    <row r="226" customFormat="false" ht="15" hidden="false" customHeight="false" outlineLevel="0" collapsed="false">
      <c r="A226" s="7" t="s">
        <v>93</v>
      </c>
      <c r="B226" s="7" t="s">
        <v>57</v>
      </c>
      <c r="C226" s="8" t="n">
        <v>45818</v>
      </c>
      <c r="D226" s="8" t="n">
        <v>45822</v>
      </c>
      <c r="E226" s="9" t="str">
        <f aca="false">IF($B226="","",IFERROR(INDEX(書籍!$B$2:$B$2000,MATCH($B226,書籍!$A$2:$A$2000,0)),"（沒建檔）"))</f>
        <v>沉默的森林</v>
      </c>
      <c r="F226" s="9" t="str">
        <f aca="false">IF($A226="","",IFERROR(INDEX(會員!$B$2:$B$2000,MATCH($A226,會員!$A$2:$A$2000,0)),"（沒建檔）"))</f>
        <v>邱沐恩</v>
      </c>
      <c r="G226" s="10" t="str">
        <f aca="false">IF($B226="","",IF($D226="","未還","已還"))</f>
        <v>已還</v>
      </c>
    </row>
    <row r="227" customFormat="false" ht="15" hidden="false" customHeight="false" outlineLevel="0" collapsed="false">
      <c r="A227" s="7" t="s">
        <v>75</v>
      </c>
      <c r="B227" s="7" t="s">
        <v>104</v>
      </c>
      <c r="C227" s="8" t="n">
        <v>45818</v>
      </c>
      <c r="D227" s="8" t="n">
        <v>45846</v>
      </c>
      <c r="E227" s="9" t="str">
        <f aca="false">IF($B227="","",IFERROR(INDEX(書籍!$B$2:$B$2000,MATCH($B227,書籍!$A$2:$A$2000,0)),"（沒建檔）"))</f>
        <v>藍色郵差</v>
      </c>
      <c r="F227" s="9" t="str">
        <f aca="false">IF($A227="","",IFERROR(INDEX(會員!$B$2:$B$2000,MATCH($A227,會員!$A$2:$A$2000,0)),"（沒建檔）"))</f>
        <v>黃芷萱</v>
      </c>
      <c r="G227" s="10" t="str">
        <f aca="false">IF($B227="","",IF($D227="","未還","已還"))</f>
        <v>已還</v>
      </c>
    </row>
    <row r="228" customFormat="false" ht="15" hidden="false" customHeight="false" outlineLevel="0" collapsed="false">
      <c r="A228" s="7" t="s">
        <v>24</v>
      </c>
      <c r="B228" s="7" t="s">
        <v>35</v>
      </c>
      <c r="C228" s="8" t="n">
        <v>45820</v>
      </c>
      <c r="D228" s="8" t="n">
        <v>45840</v>
      </c>
      <c r="E228" s="9" t="str">
        <f aca="false">IF($B228="","",IFERROR(INDEX(書籍!$B$2:$B$2000,MATCH($B228,書籍!$A$2:$A$2000,0)),"（沒建檔）"))</f>
        <v>半路上的祕密</v>
      </c>
      <c r="F228" s="9" t="str">
        <f aca="false">IF($A228="","",IFERROR(INDEX(會員!$B$2:$B$2000,MATCH($A228,會員!$A$2:$A$2000,0)),"（沒建檔）"))</f>
        <v>吳雅婷</v>
      </c>
      <c r="G228" s="10" t="str">
        <f aca="false">IF($B228="","",IF($D228="","未還","已還"))</f>
        <v>已還</v>
      </c>
    </row>
    <row r="229" customFormat="false" ht="15" hidden="false" customHeight="false" outlineLevel="0" collapsed="false">
      <c r="A229" s="7" t="s">
        <v>42</v>
      </c>
      <c r="B229" s="7" t="s">
        <v>62</v>
      </c>
      <c r="C229" s="8" t="n">
        <v>45820</v>
      </c>
      <c r="D229" s="8" t="n">
        <v>45836</v>
      </c>
      <c r="E229" s="9" t="str">
        <f aca="false">IF($B229="","",IFERROR(INDEX(書籍!$B$2:$B$2000,MATCH($B229,書籍!$A$2:$A$2000,0)),"（沒建檔）"))</f>
        <v>海邊的貓</v>
      </c>
      <c r="F229" s="9" t="str">
        <f aca="false">IF($A229="","",IFERROR(INDEX(會員!$B$2:$B$2000,MATCH($A229,會員!$A$2:$A$2000,0)),"（沒建檔）"))</f>
        <v>蔡宜庭</v>
      </c>
      <c r="G229" s="10" t="str">
        <f aca="false">IF($B229="","",IF($D229="","未還","已還"))</f>
        <v>已還</v>
      </c>
    </row>
    <row r="230" customFormat="false" ht="15" hidden="false" customHeight="false" outlineLevel="0" collapsed="false">
      <c r="A230" s="7" t="s">
        <v>154</v>
      </c>
      <c r="B230" s="7" t="s">
        <v>88</v>
      </c>
      <c r="C230" s="8" t="n">
        <v>45820</v>
      </c>
      <c r="D230" s="8" t="n">
        <v>45822</v>
      </c>
      <c r="E230" s="9" t="str">
        <f aca="false">IF($B230="","",IFERROR(INDEX(書籍!$B$2:$B$2000,MATCH($B230,書籍!$A$2:$A$2000,0)),"（沒建檔）"))</f>
        <v>地下室鋼琴師</v>
      </c>
      <c r="F230" s="9" t="str">
        <f aca="false">IF($A230="","",IFERROR(INDEX(會員!$B$2:$B$2000,MATCH($A230,會員!$A$2:$A$2000,0)),"（沒建檔）"))</f>
        <v>陳雅婷</v>
      </c>
      <c r="G230" s="10" t="str">
        <f aca="false">IF($B230="","",IF($D230="","未還","已還"))</f>
        <v>已還</v>
      </c>
    </row>
    <row r="231" customFormat="false" ht="15" hidden="false" customHeight="false" outlineLevel="0" collapsed="false">
      <c r="A231" s="7" t="s">
        <v>24</v>
      </c>
      <c r="B231" s="7" t="s">
        <v>36</v>
      </c>
      <c r="C231" s="8" t="n">
        <v>45821</v>
      </c>
      <c r="D231" s="8" t="n">
        <v>45828</v>
      </c>
      <c r="E231" s="9" t="str">
        <f aca="false">IF($B231="","",IFERROR(INDEX(書籍!$B$2:$B$2000,MATCH($B231,書籍!$A$2:$A$2000,0)),"（沒建檔）"))</f>
        <v>紙上的鋼琴師</v>
      </c>
      <c r="F231" s="9" t="str">
        <f aca="false">IF($A231="","",IFERROR(INDEX(會員!$B$2:$B$2000,MATCH($A231,會員!$A$2:$A$2000,0)),"（沒建檔）"))</f>
        <v>吳雅婷</v>
      </c>
      <c r="G231" s="10" t="str">
        <f aca="false">IF($B231="","",IF($D231="","未還","已還"))</f>
        <v>已還</v>
      </c>
    </row>
    <row r="232" customFormat="false" ht="15" hidden="false" customHeight="false" outlineLevel="0" collapsed="false">
      <c r="A232" s="7" t="s">
        <v>63</v>
      </c>
      <c r="B232" s="7" t="s">
        <v>79</v>
      </c>
      <c r="C232" s="8" t="n">
        <v>45822</v>
      </c>
      <c r="D232" s="8" t="n">
        <v>45841</v>
      </c>
      <c r="E232" s="9" t="str">
        <f aca="false">IF($B232="","",IFERROR(INDEX(書籍!$B$2:$B$2000,MATCH($B232,書籍!$A$2:$A$2000,0)),"（沒建檔）"))</f>
        <v>紙上的書店</v>
      </c>
      <c r="F232" s="9" t="str">
        <f aca="false">IF($A232="","",IFERROR(INDEX(會員!$B$2:$B$2000,MATCH($A232,會員!$A$2:$A$2000,0)),"（沒建檔）"))</f>
        <v>陳祐誠</v>
      </c>
      <c r="G232" s="10" t="str">
        <f aca="false">IF($B232="","",IF($D232="","未還","已還"))</f>
        <v>已還</v>
      </c>
    </row>
    <row r="233" customFormat="false" ht="15" hidden="false" customHeight="false" outlineLevel="0" collapsed="false">
      <c r="A233" s="7" t="s">
        <v>46</v>
      </c>
      <c r="B233" s="7" t="s">
        <v>134</v>
      </c>
      <c r="C233" s="8" t="n">
        <v>45825</v>
      </c>
      <c r="D233" s="8" t="n">
        <v>45836</v>
      </c>
      <c r="E233" s="9" t="str">
        <f aca="false">IF($B233="","",IFERROR(INDEX(書籍!$B$2:$B$2000,MATCH($B233,書籍!$A$2:$A$2000,0)),"（沒建檔）"))</f>
        <v>紙上的鋼琴師</v>
      </c>
      <c r="F233" s="9" t="str">
        <f aca="false">IF($A233="","",IFERROR(INDEX(會員!$B$2:$B$2000,MATCH($A233,會員!$A$2:$A$2000,0)),"（沒建檔）"))</f>
        <v>郭思妤</v>
      </c>
      <c r="G233" s="10" t="str">
        <f aca="false">IF($B233="","",IF($D233="","未還","已還"))</f>
        <v>已還</v>
      </c>
    </row>
    <row r="234" customFormat="false" ht="15" hidden="false" customHeight="false" outlineLevel="0" collapsed="false">
      <c r="A234" s="7" t="s">
        <v>116</v>
      </c>
      <c r="B234" s="7" t="s">
        <v>138</v>
      </c>
      <c r="C234" s="8" t="n">
        <v>45827</v>
      </c>
      <c r="D234" s="8" t="n">
        <v>45854</v>
      </c>
      <c r="E234" s="9" t="str">
        <f aca="false">IF($B234="","",IFERROR(INDEX(書籍!$B$2:$B$2000,MATCH($B234,書籍!$A$2:$A$2000,0)),"（沒建檔）"))</f>
        <v>沉默的鐘樓</v>
      </c>
      <c r="F234" s="9" t="str">
        <f aca="false">IF($A234="","",IFERROR(INDEX(會員!$B$2:$B$2000,MATCH($A234,會員!$A$2:$A$2000,0)),"（沒建檔）"))</f>
        <v>郭詠晴</v>
      </c>
      <c r="G234" s="10" t="str">
        <f aca="false">IF($B234="","",IF($D234="","未還","已還"))</f>
        <v>已還</v>
      </c>
    </row>
    <row r="235" customFormat="false" ht="15" hidden="false" customHeight="false" outlineLevel="0" collapsed="false">
      <c r="A235" s="7" t="s">
        <v>68</v>
      </c>
      <c r="B235" s="7" t="s">
        <v>81</v>
      </c>
      <c r="C235" s="8" t="n">
        <v>45827</v>
      </c>
      <c r="D235" s="8" t="n">
        <v>45846</v>
      </c>
      <c r="E235" s="9" t="str">
        <f aca="false">IF($B235="","",IFERROR(INDEX(書籍!$B$2:$B$2000,MATCH($B235,書籍!$A$2:$A$2000,0)),"（沒建檔）"))</f>
        <v>紙上的祕密</v>
      </c>
      <c r="F235" s="9" t="str">
        <f aca="false">IF($A235="","",IFERROR(INDEX(會員!$B$2:$B$2000,MATCH($A235,會員!$A$2:$A$2000,0)),"（沒建檔）"))</f>
        <v>賴建宏</v>
      </c>
      <c r="G235" s="10" t="str">
        <f aca="false">IF($B235="","",IF($D235="","未還","已還"))</f>
        <v>已還</v>
      </c>
    </row>
    <row r="236" customFormat="false" ht="15" hidden="false" customHeight="false" outlineLevel="0" collapsed="false">
      <c r="A236" s="7" t="s">
        <v>49</v>
      </c>
      <c r="B236" s="7" t="s">
        <v>131</v>
      </c>
      <c r="C236" s="8" t="n">
        <v>45827</v>
      </c>
      <c r="D236" s="8" t="n">
        <v>45839</v>
      </c>
      <c r="E236" s="9" t="str">
        <f aca="false">IF($B236="","",IFERROR(INDEX(書籍!$B$2:$B$2000,MATCH($B236,書籍!$A$2:$A$2000,0)),"（沒建檔）"))</f>
        <v>遠方的花園</v>
      </c>
      <c r="F236" s="9" t="str">
        <f aca="false">IF($A236="","",IFERROR(INDEX(會員!$B$2:$B$2000,MATCH($A236,會員!$A$2:$A$2000,0)),"（沒建檔）"))</f>
        <v>張宜庭</v>
      </c>
      <c r="G236" s="10" t="str">
        <f aca="false">IF($B236="","",IF($D236="","未還","已還"))</f>
        <v>已還</v>
      </c>
    </row>
    <row r="237" customFormat="false" ht="15" hidden="false" customHeight="false" outlineLevel="0" collapsed="false">
      <c r="A237" s="7" t="s">
        <v>101</v>
      </c>
      <c r="B237" s="7" t="s">
        <v>98</v>
      </c>
      <c r="C237" s="8" t="n">
        <v>45827</v>
      </c>
      <c r="D237" s="8" t="n">
        <v>45833</v>
      </c>
      <c r="E237" s="9" t="str">
        <f aca="false">IF($B237="","",IFERROR(INDEX(書籍!$B$2:$B$2000,MATCH($B237,書籍!$A$2:$A$2000,0)),"（沒建檔）"))</f>
        <v>北方廚房</v>
      </c>
      <c r="F237" s="9" t="str">
        <f aca="false">IF($A237="","",IFERROR(INDEX(會員!$B$2:$B$2000,MATCH($A237,會員!$A$2:$A$2000,0)),"（沒建檔）"))</f>
        <v>曾志明</v>
      </c>
      <c r="G237" s="10" t="str">
        <f aca="false">IF($B237="","",IF($D237="","未還","已還"))</f>
        <v>已還</v>
      </c>
    </row>
    <row r="238" customFormat="false" ht="15" hidden="false" customHeight="false" outlineLevel="0" collapsed="false">
      <c r="A238" s="7" t="s">
        <v>66</v>
      </c>
      <c r="B238" s="7" t="s">
        <v>53</v>
      </c>
      <c r="C238" s="8" t="n">
        <v>45827</v>
      </c>
      <c r="D238" s="8" t="n">
        <v>45840</v>
      </c>
      <c r="E238" s="9" t="str">
        <f aca="false">IF($B238="","",IFERROR(INDEX(書籍!$B$2:$B$2000,MATCH($B238,書籍!$A$2:$A$2000,0)),"（沒建檔）"))</f>
        <v>看不見的鐘樓</v>
      </c>
      <c r="F238" s="9" t="str">
        <f aca="false">IF($A238="","",IFERROR(INDEX(會員!$B$2:$B$2000,MATCH($A238,會員!$A$2:$A$2000,0)),"（沒建檔）"))</f>
        <v>郭柏翰</v>
      </c>
      <c r="G238" s="10" t="str">
        <f aca="false">IF($B238="","",IF($D238="","未還","已還"))</f>
        <v>已還</v>
      </c>
    </row>
    <row r="239" customFormat="false" ht="15" hidden="false" customHeight="false" outlineLevel="0" collapsed="false">
      <c r="A239" s="7" t="s">
        <v>97</v>
      </c>
      <c r="B239" s="7" t="s">
        <v>133</v>
      </c>
      <c r="C239" s="8" t="n">
        <v>45828</v>
      </c>
      <c r="D239" s="8" t="n">
        <v>45841</v>
      </c>
      <c r="E239" s="9" t="str">
        <f aca="false">IF($B239="","",IFERROR(INDEX(書籍!$B$2:$B$2000,MATCH($B239,書籍!$A$2:$A$2000,0)),"（沒建檔）"))</f>
        <v>深夜的咖啡館</v>
      </c>
      <c r="F239" s="9" t="str">
        <f aca="false">IF($A239="","",IFERROR(INDEX(會員!$B$2:$B$2000,MATCH($A239,會員!$A$2:$A$2000,0)),"（沒建檔）"))</f>
        <v>廖品妍</v>
      </c>
      <c r="G239" s="10" t="str">
        <f aca="false">IF($B239="","",IF($D239="","未還","已還"))</f>
        <v>已還</v>
      </c>
    </row>
    <row r="240" customFormat="false" ht="15" hidden="false" customHeight="false" outlineLevel="0" collapsed="false">
      <c r="A240" s="7" t="s">
        <v>97</v>
      </c>
      <c r="B240" s="7" t="s">
        <v>65</v>
      </c>
      <c r="C240" s="8" t="n">
        <v>45828</v>
      </c>
      <c r="D240" s="8" t="n">
        <v>45842</v>
      </c>
      <c r="E240" s="9" t="str">
        <f aca="false">IF($B240="","",IFERROR(INDEX(書籍!$B$2:$B$2000,MATCH($B240,書籍!$A$2:$A$2000,0)),"（沒建檔）"))</f>
        <v>深夜的季節</v>
      </c>
      <c r="F240" s="9" t="str">
        <f aca="false">IF($A240="","",IFERROR(INDEX(會員!$B$2:$B$2000,MATCH($A240,會員!$A$2:$A$2000,0)),"（沒建檔）"))</f>
        <v>廖品妍</v>
      </c>
      <c r="G240" s="10" t="str">
        <f aca="false">IF($B240="","",IF($D240="","未還","已還"))</f>
        <v>已還</v>
      </c>
    </row>
    <row r="241" customFormat="false" ht="15" hidden="false" customHeight="false" outlineLevel="0" collapsed="false">
      <c r="A241" s="7" t="s">
        <v>60</v>
      </c>
      <c r="B241" s="7" t="s">
        <v>155</v>
      </c>
      <c r="C241" s="8" t="n">
        <v>45829</v>
      </c>
      <c r="D241" s="8" t="n">
        <v>45843</v>
      </c>
      <c r="E241" s="9" t="str">
        <f aca="false">IF($B241="","",IFERROR(INDEX(書籍!$B$2:$B$2000,MATCH($B241,書籍!$A$2:$A$2000,0)),"（沒建檔）"))</f>
        <v>海邊的季節</v>
      </c>
      <c r="F241" s="9" t="str">
        <f aca="false">IF($A241="","",IFERROR(INDEX(會員!$B$2:$B$2000,MATCH($A241,會員!$A$2:$A$2000,0)),"（沒建檔）"))</f>
        <v>李怡君</v>
      </c>
      <c r="G241" s="10" t="str">
        <f aca="false">IF($B241="","",IF($D241="","未還","已還"))</f>
        <v>已還</v>
      </c>
    </row>
    <row r="242" customFormat="false" ht="15" hidden="false" customHeight="false" outlineLevel="0" collapsed="false">
      <c r="A242" s="7" t="s">
        <v>99</v>
      </c>
      <c r="B242" s="7" t="s">
        <v>137</v>
      </c>
      <c r="C242" s="8" t="n">
        <v>45829</v>
      </c>
      <c r="D242" s="8" t="n">
        <v>45834</v>
      </c>
      <c r="E242" s="9" t="str">
        <f aca="false">IF($B242="","",IFERROR(INDEX(書籍!$B$2:$B$2000,MATCH($B242,書籍!$A$2:$A$2000,0)),"（沒建檔）"))</f>
        <v>半路上的回信</v>
      </c>
      <c r="F242" s="9" t="str">
        <f aca="false">IF($A242="","",IFERROR(INDEX(會員!$B$2:$B$2000,MATCH($A242,會員!$A$2:$A$2000,0)),"（沒建檔）"))</f>
        <v>王芷萱</v>
      </c>
      <c r="G242" s="10" t="str">
        <f aca="false">IF($B242="","",IF($D242="","未還","已還"))</f>
        <v>已還</v>
      </c>
    </row>
    <row r="243" customFormat="false" ht="15" hidden="false" customHeight="false" outlineLevel="0" collapsed="false">
      <c r="A243" s="7" t="s">
        <v>54</v>
      </c>
      <c r="B243" s="7" t="s">
        <v>156</v>
      </c>
      <c r="C243" s="8" t="n">
        <v>45830</v>
      </c>
      <c r="D243" s="8" t="n">
        <v>45845</v>
      </c>
      <c r="E243" s="9" t="str">
        <f aca="false">IF($B243="","",IFERROR(INDEX(書籍!$B$2:$B$2000,MATCH($B243,書籍!$A$2:$A$2000,0)),"（沒建檔）"))</f>
        <v>小鎮河</v>
      </c>
      <c r="F243" s="9" t="str">
        <f aca="false">IF($A243="","",IFERROR(INDEX(會員!$B$2:$B$2000,MATCH($A243,會員!$A$2:$A$2000,0)),"（沒建檔）"))</f>
        <v>洪季軒</v>
      </c>
      <c r="G243" s="10" t="str">
        <f aca="false">IF($B243="","",IF($D243="","未還","已還"))</f>
        <v>已還</v>
      </c>
    </row>
    <row r="244" customFormat="false" ht="15" hidden="false" customHeight="false" outlineLevel="0" collapsed="false">
      <c r="A244" s="7" t="s">
        <v>72</v>
      </c>
      <c r="B244" s="7" t="s">
        <v>76</v>
      </c>
      <c r="C244" s="8" t="n">
        <v>45830</v>
      </c>
      <c r="D244" s="8" t="n">
        <v>45855</v>
      </c>
      <c r="E244" s="9" t="str">
        <f aca="false">IF($B244="","",IFERROR(INDEX(書籍!$B$2:$B$2000,MATCH($B244,書籍!$A$2:$A$2000,0)),"（沒建檔）"))</f>
        <v>十二個鐘樓</v>
      </c>
      <c r="F244" s="9" t="str">
        <f aca="false">IF($A244="","",IFERROR(INDEX(會員!$B$2:$B$2000,MATCH($A244,會員!$A$2:$A$2000,0)),"（沒建檔）"))</f>
        <v>蔡季軒</v>
      </c>
      <c r="G244" s="10" t="str">
        <f aca="false">IF($B244="","",IF($D244="","未還","已還"))</f>
        <v>已還</v>
      </c>
    </row>
    <row r="245" customFormat="false" ht="15" hidden="false" customHeight="false" outlineLevel="0" collapsed="false">
      <c r="A245" s="7" t="s">
        <v>122</v>
      </c>
      <c r="B245" s="7" t="s">
        <v>71</v>
      </c>
      <c r="C245" s="8" t="n">
        <v>45832</v>
      </c>
      <c r="D245" s="8" t="n">
        <v>45850</v>
      </c>
      <c r="E245" s="9" t="str">
        <f aca="false">IF($B245="","",IFERROR(INDEX(書籍!$B$2:$B$2000,MATCH($B245,書籍!$A$2:$A$2000,0)),"（沒建檔）"))</f>
        <v>深夜的手記</v>
      </c>
      <c r="F245" s="9" t="str">
        <f aca="false">IF($A245="","",IFERROR(INDEX(會員!$B$2:$B$2000,MATCH($A245,會員!$A$2:$A$2000,0)),"（沒建檔）"))</f>
        <v>周彥廷</v>
      </c>
      <c r="G245" s="10" t="str">
        <f aca="false">IF($B245="","",IF($D245="","未還","已還"))</f>
        <v>已還</v>
      </c>
    </row>
    <row r="246" customFormat="false" ht="15" hidden="false" customHeight="false" outlineLevel="0" collapsed="false">
      <c r="A246" s="7" t="s">
        <v>87</v>
      </c>
      <c r="B246" s="7" t="s">
        <v>86</v>
      </c>
      <c r="C246" s="8" t="n">
        <v>45836</v>
      </c>
      <c r="D246" s="8" t="n">
        <v>45855</v>
      </c>
      <c r="E246" s="9" t="str">
        <f aca="false">IF($B246="","",IFERROR(INDEX(書籍!$B$2:$B$2000,MATCH($B246,書籍!$A$2:$A$2000,0)),"（沒建檔）"))</f>
        <v>遺失的地圖</v>
      </c>
      <c r="F246" s="9" t="str">
        <f aca="false">IF($A246="","",IFERROR(INDEX(會員!$B$2:$B$2000,MATCH($A246,會員!$A$2:$A$2000,0)),"（沒建檔）"))</f>
        <v>楊芷萱</v>
      </c>
      <c r="G246" s="10" t="str">
        <f aca="false">IF($B246="","",IF($D246="","未還","已還"))</f>
        <v>已還</v>
      </c>
    </row>
    <row r="247" customFormat="false" ht="15" hidden="false" customHeight="false" outlineLevel="0" collapsed="false">
      <c r="A247" s="7" t="s">
        <v>154</v>
      </c>
      <c r="B247" s="7" t="s">
        <v>74</v>
      </c>
      <c r="C247" s="8" t="n">
        <v>45837</v>
      </c>
      <c r="D247" s="8" t="n">
        <v>45844</v>
      </c>
      <c r="E247" s="9" t="str">
        <f aca="false">IF($B247="","",IFERROR(INDEX(書籍!$B$2:$B$2000,MATCH($B247,書籍!$A$2:$A$2000,0)),"（沒建檔）"))</f>
        <v>月球書店</v>
      </c>
      <c r="F247" s="9" t="str">
        <f aca="false">IF($A247="","",IFERROR(INDEX(會員!$B$2:$B$2000,MATCH($A247,會員!$A$2:$A$2000,0)),"（沒建檔）"))</f>
        <v>陳雅婷</v>
      </c>
      <c r="G247" s="10" t="str">
        <f aca="false">IF($B247="","",IF($D247="","未還","已還"))</f>
        <v>已還</v>
      </c>
    </row>
    <row r="248" customFormat="false" ht="15" hidden="false" customHeight="false" outlineLevel="0" collapsed="false">
      <c r="A248" s="7" t="s">
        <v>122</v>
      </c>
      <c r="B248" s="7" t="s">
        <v>135</v>
      </c>
      <c r="C248" s="8" t="n">
        <v>45838</v>
      </c>
      <c r="D248" s="8" t="n">
        <v>45855</v>
      </c>
      <c r="E248" s="9" t="str">
        <f aca="false">IF($B248="","",IFERROR(INDEX(書籍!$B$2:$B$2000,MATCH($B248,書籍!$A$2:$A$2000,0)),"（沒建檔）"))</f>
        <v>最後一個森林</v>
      </c>
      <c r="F248" s="9" t="str">
        <f aca="false">IF($A248="","",IFERROR(INDEX(會員!$B$2:$B$2000,MATCH($A248,會員!$A$2:$A$2000,0)),"（沒建檔）"))</f>
        <v>周彥廷</v>
      </c>
      <c r="G248" s="10" t="str">
        <f aca="false">IF($B248="","",IF($D248="","未還","已還"))</f>
        <v>已還</v>
      </c>
    </row>
    <row r="249" customFormat="false" ht="15" hidden="false" customHeight="false" outlineLevel="0" collapsed="false">
      <c r="A249" s="7" t="s">
        <v>49</v>
      </c>
      <c r="B249" s="7" t="s">
        <v>136</v>
      </c>
      <c r="C249" s="8" t="n">
        <v>45839</v>
      </c>
      <c r="D249" s="8" t="n">
        <v>45856</v>
      </c>
      <c r="E249" s="9" t="str">
        <f aca="false">IF($B249="","",IFERROR(INDEX(書籍!$B$2:$B$2000,MATCH($B249,書籍!$A$2:$A$2000,0)),"（沒建檔）"))</f>
        <v>海邊的廚房</v>
      </c>
      <c r="F249" s="9" t="str">
        <f aca="false">IF($A249="","",IFERROR(INDEX(會員!$B$2:$B$2000,MATCH($A249,會員!$A$2:$A$2000,0)),"（沒建檔）"))</f>
        <v>張宜庭</v>
      </c>
      <c r="G249" s="10" t="str">
        <f aca="false">IF($B249="","",IF($D249="","未還","已還"))</f>
        <v>已還</v>
      </c>
    </row>
    <row r="250" customFormat="false" ht="15" hidden="false" customHeight="false" outlineLevel="0" collapsed="false">
      <c r="A250" s="7" t="s">
        <v>46</v>
      </c>
      <c r="B250" s="7" t="s">
        <v>126</v>
      </c>
      <c r="C250" s="8" t="n">
        <v>45839</v>
      </c>
      <c r="D250" s="8" t="n">
        <v>45855</v>
      </c>
      <c r="E250" s="9" t="str">
        <f aca="false">IF($B250="","",IFERROR(INDEX(書籍!$B$2:$B$2000,MATCH($B250,書籍!$A$2:$A$2000,0)),"（沒建檔）"))</f>
        <v>地下室列車</v>
      </c>
      <c r="F250" s="9" t="str">
        <f aca="false">IF($A250="","",IFERROR(INDEX(會員!$B$2:$B$2000,MATCH($A250,會員!$A$2:$A$2000,0)),"（沒建檔）"))</f>
        <v>郭思妤</v>
      </c>
      <c r="G250" s="10" t="str">
        <f aca="false">IF($B250="","",IF($D250="","未還","已還"))</f>
        <v>已還</v>
      </c>
    </row>
    <row r="251" customFormat="false" ht="15" hidden="false" customHeight="false" outlineLevel="0" collapsed="false">
      <c r="A251" s="7" t="s">
        <v>49</v>
      </c>
      <c r="B251" s="7" t="s">
        <v>148</v>
      </c>
      <c r="C251" s="8" t="n">
        <v>45840</v>
      </c>
      <c r="D251" s="8" t="n">
        <v>45850</v>
      </c>
      <c r="E251" s="9" t="str">
        <f aca="false">IF($B251="","",IFERROR(INDEX(書籍!$B$2:$B$2000,MATCH($B251,書籍!$A$2:$A$2000,0)),"（沒建檔）"))</f>
        <v>漫長的鋼琴師</v>
      </c>
      <c r="F251" s="9" t="str">
        <f aca="false">IF($A251="","",IFERROR(INDEX(會員!$B$2:$B$2000,MATCH($A251,會員!$A$2:$A$2000,0)),"（沒建檔）"))</f>
        <v>張宜庭</v>
      </c>
      <c r="G251" s="10" t="str">
        <f aca="false">IF($B251="","",IF($D251="","未還","已還"))</f>
        <v>已還</v>
      </c>
    </row>
    <row r="252" customFormat="false" ht="15" hidden="false" customHeight="false" outlineLevel="0" collapsed="false">
      <c r="A252" s="7" t="s">
        <v>113</v>
      </c>
      <c r="B252" s="7" t="s">
        <v>132</v>
      </c>
      <c r="C252" s="8" t="n">
        <v>45840</v>
      </c>
      <c r="D252" s="8" t="n">
        <v>45847</v>
      </c>
      <c r="E252" s="9" t="str">
        <f aca="false">IF($B252="","",IFERROR(INDEX(書籍!$B$2:$B$2000,MATCH($B252,書籍!$A$2:$A$2000,0)),"（沒建檔）"))</f>
        <v>月球貓</v>
      </c>
      <c r="F252" s="9" t="str">
        <f aca="false">IF($A252="","",IFERROR(INDEX(會員!$B$2:$B$2000,MATCH($A252,會員!$A$2:$A$2000,0)),"（沒建檔）"))</f>
        <v>謝子涵</v>
      </c>
      <c r="G252" s="10" t="str">
        <f aca="false">IF($B252="","",IF($D252="","未還","已還"))</f>
        <v>已還</v>
      </c>
    </row>
    <row r="253" customFormat="false" ht="15" hidden="false" customHeight="false" outlineLevel="0" collapsed="false">
      <c r="A253" s="7" t="s">
        <v>46</v>
      </c>
      <c r="B253" s="7" t="s">
        <v>137</v>
      </c>
      <c r="C253" s="8" t="n">
        <v>45841</v>
      </c>
      <c r="D253" s="8" t="n">
        <v>45848</v>
      </c>
      <c r="E253" s="9" t="str">
        <f aca="false">IF($B253="","",IFERROR(INDEX(書籍!$B$2:$B$2000,MATCH($B253,書籍!$A$2:$A$2000,0)),"（沒建檔）"))</f>
        <v>半路上的回信</v>
      </c>
      <c r="F253" s="9" t="str">
        <f aca="false">IF($A253="","",IFERROR(INDEX(會員!$B$2:$B$2000,MATCH($A253,會員!$A$2:$A$2000,0)),"（沒建檔）"))</f>
        <v>郭思妤</v>
      </c>
      <c r="G253" s="10" t="str">
        <f aca="false">IF($B253="","",IF($D253="","未還","已還"))</f>
        <v>已還</v>
      </c>
    </row>
    <row r="254" customFormat="false" ht="15" hidden="false" customHeight="false" outlineLevel="0" collapsed="false">
      <c r="A254" s="7" t="s">
        <v>26</v>
      </c>
      <c r="B254" s="7" t="s">
        <v>127</v>
      </c>
      <c r="C254" s="8" t="n">
        <v>45841</v>
      </c>
      <c r="D254" s="8" t="n">
        <v>45857</v>
      </c>
      <c r="E254" s="9" t="str">
        <f aca="false">IF($B254="","",IFERROR(INDEX(書籍!$B$2:$B$2000,MATCH($B254,書籍!$A$2:$A$2000,0)),"（沒建檔）"))</f>
        <v>第七號鐘樓</v>
      </c>
      <c r="F254" s="9" t="str">
        <f aca="false">IF($A254="","",IFERROR(INDEX(會員!$B$2:$B$2000,MATCH($A254,會員!$A$2:$A$2000,0)),"（沒建檔）"))</f>
        <v>曾淑芬</v>
      </c>
      <c r="G254" s="10" t="str">
        <f aca="false">IF($B254="","",IF($D254="","未還","已還"))</f>
        <v>已還</v>
      </c>
    </row>
    <row r="255" customFormat="false" ht="15" hidden="false" customHeight="false" outlineLevel="0" collapsed="false">
      <c r="A255" s="7" t="s">
        <v>56</v>
      </c>
      <c r="B255" s="7" t="s">
        <v>146</v>
      </c>
      <c r="C255" s="8" t="n">
        <v>45842</v>
      </c>
      <c r="D255" s="8" t="n">
        <v>45864</v>
      </c>
      <c r="E255" s="9" t="str">
        <f aca="false">IF($B255="","",IFERROR(INDEX(書籍!$B$2:$B$2000,MATCH($B255,書籍!$A$2:$A$2000,0)),"（沒建檔）"))</f>
        <v>漫長的咖啡館</v>
      </c>
      <c r="F255" s="9" t="str">
        <f aca="false">IF($A255="","",IFERROR(INDEX(會員!$B$2:$B$2000,MATCH($A255,會員!$A$2:$A$2000,0)),"（沒建檔）"))</f>
        <v>李季軒</v>
      </c>
      <c r="G255" s="10" t="str">
        <f aca="false">IF($B255="","",IF($D255="","未還","已還"))</f>
        <v>已還</v>
      </c>
    </row>
    <row r="256" customFormat="false" ht="15" hidden="false" customHeight="false" outlineLevel="0" collapsed="false">
      <c r="A256" s="7" t="s">
        <v>40</v>
      </c>
      <c r="B256" s="7" t="s">
        <v>82</v>
      </c>
      <c r="C256" s="8" t="n">
        <v>45844</v>
      </c>
      <c r="D256" s="8" t="n">
        <v>45870</v>
      </c>
      <c r="E256" s="9" t="str">
        <f aca="false">IF($B256="","",IFERROR(INDEX(書籍!$B$2:$B$2000,MATCH($B256,書籍!$A$2:$A$2000,0)),"（沒建檔）"))</f>
        <v>藍色手記</v>
      </c>
      <c r="F256" s="9" t="str">
        <f aca="false">IF($A256="","",IFERROR(INDEX(會員!$B$2:$B$2000,MATCH($A256,會員!$A$2:$A$2000,0)),"（沒建檔）"))</f>
        <v>賴佩珊</v>
      </c>
      <c r="G256" s="10" t="str">
        <f aca="false">IF($B256="","",IF($D256="","未還","已還"))</f>
        <v>已還</v>
      </c>
    </row>
    <row r="257" customFormat="false" ht="15" hidden="false" customHeight="false" outlineLevel="0" collapsed="false">
      <c r="A257" s="7" t="s">
        <v>54</v>
      </c>
      <c r="B257" s="7" t="s">
        <v>83</v>
      </c>
      <c r="C257" s="8" t="n">
        <v>45845</v>
      </c>
      <c r="D257" s="8" t="n">
        <v>45868</v>
      </c>
      <c r="E257" s="9" t="str">
        <f aca="false">IF($B257="","",IFERROR(INDEX(書籍!$B$2:$B$2000,MATCH($B257,書籍!$A$2:$A$2000,0)),"（沒建檔）"))</f>
        <v>北方信</v>
      </c>
      <c r="F257" s="9" t="str">
        <f aca="false">IF($A257="","",IFERROR(INDEX(會員!$B$2:$B$2000,MATCH($A257,會員!$A$2:$A$2000,0)),"（沒建檔）"))</f>
        <v>洪季軒</v>
      </c>
      <c r="G257" s="10" t="str">
        <f aca="false">IF($B257="","",IF($D257="","未還","已還"))</f>
        <v>已還</v>
      </c>
    </row>
    <row r="258" customFormat="false" ht="15" hidden="false" customHeight="false" outlineLevel="0" collapsed="false">
      <c r="A258" s="7" t="s">
        <v>26</v>
      </c>
      <c r="B258" s="7" t="s">
        <v>74</v>
      </c>
      <c r="C258" s="8" t="n">
        <v>45847</v>
      </c>
      <c r="D258" s="8" t="n">
        <v>45857</v>
      </c>
      <c r="E258" s="9" t="str">
        <f aca="false">IF($B258="","",IFERROR(INDEX(書籍!$B$2:$B$2000,MATCH($B258,書籍!$A$2:$A$2000,0)),"（沒建檔）"))</f>
        <v>月球書店</v>
      </c>
      <c r="F258" s="9" t="str">
        <f aca="false">IF($A258="","",IFERROR(INDEX(會員!$B$2:$B$2000,MATCH($A258,會員!$A$2:$A$2000,0)),"（沒建檔）"))</f>
        <v>曾淑芬</v>
      </c>
      <c r="G258" s="10" t="str">
        <f aca="false">IF($B258="","",IF($D258="","未還","已還"))</f>
        <v>已還</v>
      </c>
    </row>
    <row r="259" customFormat="false" ht="15" hidden="false" customHeight="false" outlineLevel="0" collapsed="false">
      <c r="A259" s="7" t="s">
        <v>46</v>
      </c>
      <c r="B259" s="7" t="s">
        <v>151</v>
      </c>
      <c r="C259" s="8" t="n">
        <v>45847</v>
      </c>
      <c r="D259" s="8" t="n">
        <v>45877</v>
      </c>
      <c r="E259" s="9" t="str">
        <f aca="false">IF($B259="","",IFERROR(INDEX(書籍!$B$2:$B$2000,MATCH($B259,書籍!$A$2:$A$2000,0)),"（沒建檔）"))</f>
        <v>微小的祕密</v>
      </c>
      <c r="F259" s="9" t="str">
        <f aca="false">IF($A259="","",IFERROR(INDEX(會員!$B$2:$B$2000,MATCH($A259,會員!$A$2:$A$2000,0)),"（沒建檔）"))</f>
        <v>郭思妤</v>
      </c>
      <c r="G259" s="10" t="str">
        <f aca="false">IF($B259="","",IF($D259="","未還","已還"))</f>
        <v>已還</v>
      </c>
    </row>
    <row r="260" customFormat="false" ht="15" hidden="false" customHeight="false" outlineLevel="0" collapsed="false">
      <c r="A260" s="7" t="s">
        <v>28</v>
      </c>
      <c r="B260" s="7" t="s">
        <v>110</v>
      </c>
      <c r="C260" s="8" t="n">
        <v>45847</v>
      </c>
      <c r="D260" s="8" t="n">
        <v>45857</v>
      </c>
      <c r="E260" s="9" t="str">
        <f aca="false">IF($B260="","",IFERROR(INDEX(書籍!$B$2:$B$2000,MATCH($B260,書籍!$A$2:$A$2000,0)),"（沒建檔）"))</f>
        <v>雨中手記</v>
      </c>
      <c r="F260" s="9" t="str">
        <f aca="false">IF($A260="","",IFERROR(INDEX(會員!$B$2:$B$2000,MATCH($A260,會員!$A$2:$A$2000,0)),"（沒建檔）"))</f>
        <v>郭妍希</v>
      </c>
      <c r="G260" s="10" t="str">
        <f aca="false">IF($B260="","",IF($D260="","未還","已還"))</f>
        <v>已還</v>
      </c>
    </row>
    <row r="261" customFormat="false" ht="15" hidden="false" customHeight="false" outlineLevel="0" collapsed="false">
      <c r="A261" s="7" t="s">
        <v>42</v>
      </c>
      <c r="B261" s="7" t="s">
        <v>48</v>
      </c>
      <c r="C261" s="8" t="n">
        <v>45848</v>
      </c>
      <c r="D261" s="8" t="n">
        <v>45869</v>
      </c>
      <c r="E261" s="9" t="str">
        <f aca="false">IF($B261="","",IFERROR(INDEX(書籍!$B$2:$B$2000,MATCH($B261,書籍!$A$2:$A$2000,0)),"（沒建檔）"))</f>
        <v>月球燈塔</v>
      </c>
      <c r="F261" s="9" t="str">
        <f aca="false">IF($A261="","",IFERROR(INDEX(會員!$B$2:$B$2000,MATCH($A261,會員!$A$2:$A$2000,0)),"（沒建檔）"))</f>
        <v>蔡宜庭</v>
      </c>
      <c r="G261" s="10" t="str">
        <f aca="false">IF($B261="","",IF($D261="","未還","已還"))</f>
        <v>已還</v>
      </c>
    </row>
    <row r="262" customFormat="false" ht="15" hidden="false" customHeight="false" outlineLevel="0" collapsed="false">
      <c r="A262" s="7" t="s">
        <v>26</v>
      </c>
      <c r="B262" s="7" t="s">
        <v>150</v>
      </c>
      <c r="C262" s="8" t="n">
        <v>45850</v>
      </c>
      <c r="D262" s="8" t="n">
        <v>45876</v>
      </c>
      <c r="E262" s="9" t="str">
        <f aca="false">IF($B262="","",IFERROR(INDEX(書籍!$B$2:$B$2000,MATCH($B262,書籍!$A$2:$A$2000,0)),"（沒建檔）"))</f>
        <v>第七號地圖</v>
      </c>
      <c r="F262" s="9" t="str">
        <f aca="false">IF($A262="","",IFERROR(INDEX(會員!$B$2:$B$2000,MATCH($A262,會員!$A$2:$A$2000,0)),"（沒建檔）"))</f>
        <v>曾淑芬</v>
      </c>
      <c r="G262" s="10" t="str">
        <f aca="false">IF($B262="","",IF($D262="","未還","已還"))</f>
        <v>已還</v>
      </c>
    </row>
    <row r="263" customFormat="false" ht="15" hidden="false" customHeight="false" outlineLevel="0" collapsed="false">
      <c r="A263" s="7" t="s">
        <v>122</v>
      </c>
      <c r="B263" s="7" t="s">
        <v>142</v>
      </c>
      <c r="C263" s="8" t="n">
        <v>45850</v>
      </c>
      <c r="D263" s="8" t="n">
        <v>45866</v>
      </c>
      <c r="E263" s="9" t="str">
        <f aca="false">IF($B263="","",IFERROR(INDEX(書籍!$B$2:$B$2000,MATCH($B263,書籍!$A$2:$A$2000,0)),"（沒建檔）"))</f>
        <v>深夜的河</v>
      </c>
      <c r="F263" s="9" t="str">
        <f aca="false">IF($A263="","",IFERROR(INDEX(會員!$B$2:$B$2000,MATCH($A263,會員!$A$2:$A$2000,0)),"（沒建檔）"))</f>
        <v>周彥廷</v>
      </c>
      <c r="G263" s="10" t="str">
        <f aca="false">IF($B263="","",IF($D263="","未還","已還"))</f>
        <v>已還</v>
      </c>
    </row>
    <row r="264" customFormat="false" ht="15" hidden="false" customHeight="false" outlineLevel="0" collapsed="false">
      <c r="A264" s="7" t="s">
        <v>72</v>
      </c>
      <c r="B264" s="7" t="s">
        <v>88</v>
      </c>
      <c r="C264" s="8" t="n">
        <v>45852</v>
      </c>
      <c r="D264" s="8" t="n">
        <v>45856</v>
      </c>
      <c r="E264" s="9" t="str">
        <f aca="false">IF($B264="","",IFERROR(INDEX(書籍!$B$2:$B$2000,MATCH($B264,書籍!$A$2:$A$2000,0)),"（沒建檔）"))</f>
        <v>地下室鋼琴師</v>
      </c>
      <c r="F264" s="9" t="str">
        <f aca="false">IF($A264="","",IFERROR(INDEX(會員!$B$2:$B$2000,MATCH($A264,會員!$A$2:$A$2000,0)),"（沒建檔）"))</f>
        <v>蔡季軒</v>
      </c>
      <c r="G264" s="10" t="str">
        <f aca="false">IF($B264="","",IF($D264="","未還","已還"))</f>
        <v>已還</v>
      </c>
    </row>
    <row r="265" customFormat="false" ht="15" hidden="false" customHeight="false" outlineLevel="0" collapsed="false">
      <c r="A265" s="7" t="s">
        <v>66</v>
      </c>
      <c r="B265" s="7" t="s">
        <v>71</v>
      </c>
      <c r="C265" s="8" t="n">
        <v>45852</v>
      </c>
      <c r="D265" s="8" t="n">
        <v>45854</v>
      </c>
      <c r="E265" s="9" t="str">
        <f aca="false">IF($B265="","",IFERROR(INDEX(書籍!$B$2:$B$2000,MATCH($B265,書籍!$A$2:$A$2000,0)),"（沒建檔）"))</f>
        <v>深夜的手記</v>
      </c>
      <c r="F265" s="9" t="str">
        <f aca="false">IF($A265="","",IFERROR(INDEX(會員!$B$2:$B$2000,MATCH($A265,會員!$A$2:$A$2000,0)),"（沒建檔）"))</f>
        <v>郭柏翰</v>
      </c>
      <c r="G265" s="10" t="str">
        <f aca="false">IF($B265="","",IF($D265="","未還","已還"))</f>
        <v>已還</v>
      </c>
    </row>
    <row r="266" customFormat="false" ht="15" hidden="false" customHeight="false" outlineLevel="0" collapsed="false">
      <c r="A266" s="7" t="s">
        <v>161</v>
      </c>
      <c r="B266" s="7" t="s">
        <v>112</v>
      </c>
      <c r="C266" s="8" t="n">
        <v>45853</v>
      </c>
      <c r="D266" s="8" t="n">
        <v>45879</v>
      </c>
      <c r="E266" s="9" t="str">
        <f aca="false">IF($B266="","",IFERROR(INDEX(書籍!$B$2:$B$2000,MATCH($B266,書籍!$A$2:$A$2000,0)),"（沒建檔）"))</f>
        <v>圖書館地圖</v>
      </c>
      <c r="F266" s="9" t="str">
        <f aca="false">IF($A266="","",IFERROR(INDEX(會員!$B$2:$B$2000,MATCH($A266,會員!$A$2:$A$2000,0)),"（沒建檔）"))</f>
        <v>吳彥廷</v>
      </c>
      <c r="G266" s="10" t="str">
        <f aca="false">IF($B266="","",IF($D266="","未還","已還"))</f>
        <v>已還</v>
      </c>
    </row>
    <row r="267" customFormat="false" ht="15" hidden="false" customHeight="false" outlineLevel="0" collapsed="false">
      <c r="A267" s="7" t="s">
        <v>26</v>
      </c>
      <c r="B267" s="7" t="s">
        <v>124</v>
      </c>
      <c r="C267" s="8" t="n">
        <v>45853</v>
      </c>
      <c r="D267" s="8" t="n">
        <v>45866</v>
      </c>
      <c r="E267" s="9" t="str">
        <f aca="false">IF($B267="","",IFERROR(INDEX(書籍!$B$2:$B$2000,MATCH($B267,書籍!$A$2:$A$2000,0)),"（沒建檔）"))</f>
        <v>深夜的燈塔</v>
      </c>
      <c r="F267" s="9" t="str">
        <f aca="false">IF($A267="","",IFERROR(INDEX(會員!$B$2:$B$2000,MATCH($A267,會員!$A$2:$A$2000,0)),"（沒建檔）"))</f>
        <v>曾淑芬</v>
      </c>
      <c r="G267" s="10" t="str">
        <f aca="false">IF($B267="","",IF($D267="","未還","已還"))</f>
        <v>已還</v>
      </c>
    </row>
    <row r="268" customFormat="false" ht="15" hidden="false" customHeight="false" outlineLevel="0" collapsed="false">
      <c r="A268" s="7" t="s">
        <v>160</v>
      </c>
      <c r="B268" s="7" t="s">
        <v>132</v>
      </c>
      <c r="C268" s="8" t="n">
        <v>45854</v>
      </c>
      <c r="D268" s="8" t="n">
        <v>45869</v>
      </c>
      <c r="E268" s="9" t="str">
        <f aca="false">IF($B268="","",IFERROR(INDEX(書籍!$B$2:$B$2000,MATCH($B268,書籍!$A$2:$A$2000,0)),"（沒建檔）"))</f>
        <v>月球貓</v>
      </c>
      <c r="F268" s="9" t="str">
        <f aca="false">IF($A268="","",IFERROR(INDEX(會員!$B$2:$B$2000,MATCH($A268,會員!$A$2:$A$2000,0)),"（沒建檔）"))</f>
        <v>張季軒</v>
      </c>
      <c r="G268" s="10" t="str">
        <f aca="false">IF($B268="","",IF($D268="","未還","已還"))</f>
        <v>已還</v>
      </c>
    </row>
    <row r="269" customFormat="false" ht="15" hidden="false" customHeight="false" outlineLevel="0" collapsed="false">
      <c r="A269" s="7" t="s">
        <v>130</v>
      </c>
      <c r="B269" s="7" t="s">
        <v>143</v>
      </c>
      <c r="C269" s="8" t="n">
        <v>45854</v>
      </c>
      <c r="D269" s="8" t="n">
        <v>45875</v>
      </c>
      <c r="E269" s="9" t="str">
        <f aca="false">IF($B269="","",IFERROR(INDEX(書籍!$B$2:$B$2000,MATCH($B269,書籍!$A$2:$A$2000,0)),"（沒建檔）"))</f>
        <v>月球花園</v>
      </c>
      <c r="F269" s="9" t="str">
        <f aca="false">IF($A269="","",IFERROR(INDEX(會員!$B$2:$B$2000,MATCH($A269,會員!$A$2:$A$2000,0)),"（沒建檔）"))</f>
        <v>林子涵</v>
      </c>
      <c r="G269" s="10" t="str">
        <f aca="false">IF($B269="","",IF($D269="","未還","已還"))</f>
        <v>已還</v>
      </c>
    </row>
    <row r="270" customFormat="false" ht="15" hidden="false" customHeight="false" outlineLevel="0" collapsed="false">
      <c r="A270" s="7" t="s">
        <v>122</v>
      </c>
      <c r="B270" s="7" t="s">
        <v>125</v>
      </c>
      <c r="C270" s="8" t="n">
        <v>45854</v>
      </c>
      <c r="D270" s="8" t="n">
        <v>45874</v>
      </c>
      <c r="E270" s="9" t="str">
        <f aca="false">IF($B270="","",IFERROR(INDEX(書籍!$B$2:$B$2000,MATCH($B270,書籍!$A$2:$A$2000,0)),"（沒建檔）"))</f>
        <v>會說話的夏天</v>
      </c>
      <c r="F270" s="9" t="str">
        <f aca="false">IF($A270="","",IFERROR(INDEX(會員!$B$2:$B$2000,MATCH($A270,會員!$A$2:$A$2000,0)),"（沒建檔）"))</f>
        <v>周彥廷</v>
      </c>
      <c r="G270" s="10" t="str">
        <f aca="false">IF($B270="","",IF($D270="","未還","已還"))</f>
        <v>已還</v>
      </c>
    </row>
    <row r="271" customFormat="false" ht="15" hidden="false" customHeight="false" outlineLevel="0" collapsed="false">
      <c r="A271" s="7" t="s">
        <v>63</v>
      </c>
      <c r="B271" s="7" t="s">
        <v>152</v>
      </c>
      <c r="C271" s="8" t="n">
        <v>45854</v>
      </c>
      <c r="D271" s="8" t="n">
        <v>45866</v>
      </c>
      <c r="E271" s="9" t="str">
        <f aca="false">IF($B271="","",IFERROR(INDEX(書籍!$B$2:$B$2000,MATCH($B271,書籍!$A$2:$A$2000,0)),"（沒建檔）"))</f>
        <v>看不見的鋼琴師</v>
      </c>
      <c r="F271" s="9" t="str">
        <f aca="false">IF($A271="","",IFERROR(INDEX(會員!$B$2:$B$2000,MATCH($A271,會員!$A$2:$A$2000,0)),"（沒建檔）"))</f>
        <v>陳祐誠</v>
      </c>
      <c r="G271" s="10" t="str">
        <f aca="false">IF($B271="","",IF($D271="","未還","已還"))</f>
        <v>已還</v>
      </c>
    </row>
    <row r="272" customFormat="false" ht="15" hidden="false" customHeight="false" outlineLevel="0" collapsed="false">
      <c r="A272" s="7" t="s">
        <v>113</v>
      </c>
      <c r="B272" s="7" t="s">
        <v>73</v>
      </c>
      <c r="C272" s="8" t="n">
        <v>45855</v>
      </c>
      <c r="D272" s="8" t="n">
        <v>45874</v>
      </c>
      <c r="E272" s="9" t="str">
        <f aca="false">IF($B272="","",IFERROR(INDEX(書籍!$B$2:$B$2000,MATCH($B272,書籍!$A$2:$A$2000,0)),"（沒建檔）"))</f>
        <v>海邊的森林</v>
      </c>
      <c r="F272" s="9" t="str">
        <f aca="false">IF($A272="","",IFERROR(INDEX(會員!$B$2:$B$2000,MATCH($A272,會員!$A$2:$A$2000,0)),"（沒建檔）"))</f>
        <v>謝子涵</v>
      </c>
      <c r="G272" s="10" t="str">
        <f aca="false">IF($B272="","",IF($D272="","未還","已還"))</f>
        <v>已還</v>
      </c>
    </row>
    <row r="273" customFormat="false" ht="15" hidden="false" customHeight="false" outlineLevel="0" collapsed="false">
      <c r="A273" s="7" t="s">
        <v>93</v>
      </c>
      <c r="B273" s="7" t="s">
        <v>120</v>
      </c>
      <c r="C273" s="8" t="n">
        <v>45855</v>
      </c>
      <c r="D273" s="8" t="n">
        <v>45874</v>
      </c>
      <c r="E273" s="9" t="str">
        <f aca="false">IF($B273="","",IFERROR(INDEX(書籍!$B$2:$B$2000,MATCH($B273,書籍!$A$2:$A$2000,0)),"（沒建檔）"))</f>
        <v>月球廚房</v>
      </c>
      <c r="F273" s="9" t="str">
        <f aca="false">IF($A273="","",IFERROR(INDEX(會員!$B$2:$B$2000,MATCH($A273,會員!$A$2:$A$2000,0)),"（沒建檔）"))</f>
        <v>邱沐恩</v>
      </c>
      <c r="G273" s="10" t="str">
        <f aca="false">IF($B273="","",IF($D273="","未還","已還"))</f>
        <v>已還</v>
      </c>
    </row>
    <row r="274" customFormat="false" ht="15" hidden="false" customHeight="false" outlineLevel="0" collapsed="false">
      <c r="A274" s="7" t="s">
        <v>30</v>
      </c>
      <c r="B274" s="7" t="s">
        <v>43</v>
      </c>
      <c r="C274" s="8" t="n">
        <v>45856</v>
      </c>
      <c r="D274" s="8" t="n">
        <v>45865</v>
      </c>
      <c r="E274" s="9" t="str">
        <f aca="false">IF($B274="","",IFERROR(INDEX(書籍!$B$2:$B$2000,MATCH($B274,書籍!$A$2:$A$2000,0)),"（沒建檔）"))</f>
        <v>看不見的廚房</v>
      </c>
      <c r="F274" s="9" t="str">
        <f aca="false">IF($A274="","",IFERROR(INDEX(會員!$B$2:$B$2000,MATCH($A274,會員!$A$2:$A$2000,0)),"（沒建檔）"))</f>
        <v>吳芃穎</v>
      </c>
      <c r="G274" s="10" t="str">
        <f aca="false">IF($B274="","",IF($D274="","未還","已還"))</f>
        <v>已還</v>
      </c>
    </row>
    <row r="275" customFormat="false" ht="15" hidden="false" customHeight="false" outlineLevel="0" collapsed="false">
      <c r="A275" s="7" t="s">
        <v>42</v>
      </c>
      <c r="B275" s="7" t="s">
        <v>25</v>
      </c>
      <c r="C275" s="8" t="n">
        <v>45856</v>
      </c>
      <c r="D275" s="8" t="n">
        <v>45883</v>
      </c>
      <c r="E275" s="9" t="str">
        <f aca="false">IF($B275="","",IFERROR(INDEX(書籍!$B$2:$B$2000,MATCH($B275,書籍!$A$2:$A$2000,0)),"（沒建檔）"))</f>
        <v>看不見的咖啡館</v>
      </c>
      <c r="F275" s="9" t="str">
        <f aca="false">IF($A275="","",IFERROR(INDEX(會員!$B$2:$B$2000,MATCH($A275,會員!$A$2:$A$2000,0)),"（沒建檔）"))</f>
        <v>蔡宜庭</v>
      </c>
      <c r="G275" s="10" t="str">
        <f aca="false">IF($B275="","",IF($D275="","未還","已還"))</f>
        <v>已還</v>
      </c>
    </row>
    <row r="276" customFormat="false" ht="15" hidden="false" customHeight="false" outlineLevel="0" collapsed="false">
      <c r="A276" s="7" t="s">
        <v>49</v>
      </c>
      <c r="B276" s="7" t="s">
        <v>84</v>
      </c>
      <c r="C276" s="8" t="n">
        <v>45856</v>
      </c>
      <c r="D276" s="8" t="n">
        <v>45882</v>
      </c>
      <c r="E276" s="9" t="str">
        <f aca="false">IF($B276="","",IFERROR(INDEX(書籍!$B$2:$B$2000,MATCH($B276,書籍!$A$2:$A$2000,0)),"（沒建檔）"))</f>
        <v>微小的郵差</v>
      </c>
      <c r="F276" s="9" t="str">
        <f aca="false">IF($A276="","",IFERROR(INDEX(會員!$B$2:$B$2000,MATCH($A276,會員!$A$2:$A$2000,0)),"（沒建檔）"))</f>
        <v>張宜庭</v>
      </c>
      <c r="G276" s="10" t="str">
        <f aca="false">IF($B276="","",IF($D276="","未還","已還"))</f>
        <v>已還</v>
      </c>
    </row>
    <row r="277" customFormat="false" ht="15" hidden="false" customHeight="false" outlineLevel="0" collapsed="false">
      <c r="A277" s="7" t="s">
        <v>122</v>
      </c>
      <c r="B277" s="7" t="s">
        <v>59</v>
      </c>
      <c r="C277" s="8" t="n">
        <v>45857</v>
      </c>
      <c r="D277" s="8" t="n">
        <v>45886</v>
      </c>
      <c r="E277" s="9" t="str">
        <f aca="false">IF($B277="","",IFERROR(INDEX(書籍!$B$2:$B$2000,MATCH($B277,書籍!$A$2:$A$2000,0)),"（沒建檔）"))</f>
        <v>月球回信</v>
      </c>
      <c r="F277" s="9" t="str">
        <f aca="false">IF($A277="","",IFERROR(INDEX(會員!$B$2:$B$2000,MATCH($A277,會員!$A$2:$A$2000,0)),"（沒建檔）"))</f>
        <v>周彥廷</v>
      </c>
      <c r="G277" s="10" t="str">
        <f aca="false">IF($B277="","",IF($D277="","未還","已還"))</f>
        <v>已還</v>
      </c>
    </row>
    <row r="278" customFormat="false" ht="15" hidden="false" customHeight="false" outlineLevel="0" collapsed="false">
      <c r="A278" s="7" t="s">
        <v>161</v>
      </c>
      <c r="B278" s="7" t="s">
        <v>38</v>
      </c>
      <c r="C278" s="8" t="n">
        <v>45857</v>
      </c>
      <c r="D278" s="8" t="n">
        <v>45882</v>
      </c>
      <c r="E278" s="9" t="str">
        <f aca="false">IF($B278="","",IFERROR(INDEX(書籍!$B$2:$B$2000,MATCH($B278,書籍!$A$2:$A$2000,0)),"（沒建檔）"))</f>
        <v>小鎮森林</v>
      </c>
      <c r="F278" s="9" t="str">
        <f aca="false">IF($A278="","",IFERROR(INDEX(會員!$B$2:$B$2000,MATCH($A278,會員!$A$2:$A$2000,0)),"（沒建檔）"))</f>
        <v>吳彥廷</v>
      </c>
      <c r="G278" s="10" t="str">
        <f aca="false">IF($B278="","",IF($D278="","未還","已還"))</f>
        <v>已還</v>
      </c>
    </row>
    <row r="279" customFormat="false" ht="15" hidden="false" customHeight="false" outlineLevel="0" collapsed="false">
      <c r="A279" s="7" t="s">
        <v>58</v>
      </c>
      <c r="B279" s="7" t="s">
        <v>79</v>
      </c>
      <c r="C279" s="8" t="n">
        <v>45858</v>
      </c>
      <c r="D279" s="8" t="n">
        <v>45865</v>
      </c>
      <c r="E279" s="9" t="str">
        <f aca="false">IF($B279="","",IFERROR(INDEX(書籍!$B$2:$B$2000,MATCH($B279,書籍!$A$2:$A$2000,0)),"（沒建檔）"))</f>
        <v>紙上的書店</v>
      </c>
      <c r="F279" s="9" t="str">
        <f aca="false">IF($A279="","",IFERROR(INDEX(會員!$B$2:$B$2000,MATCH($A279,會員!$A$2:$A$2000,0)),"（沒建檔）"))</f>
        <v>賴思妤</v>
      </c>
      <c r="G279" s="10" t="str">
        <f aca="false">IF($B279="","",IF($D279="","未還","已還"))</f>
        <v>已還</v>
      </c>
    </row>
    <row r="280" customFormat="false" ht="15" hidden="false" customHeight="false" outlineLevel="0" collapsed="false">
      <c r="A280" s="7" t="s">
        <v>75</v>
      </c>
      <c r="B280" s="7" t="s">
        <v>70</v>
      </c>
      <c r="C280" s="8" t="n">
        <v>45858</v>
      </c>
      <c r="D280" s="8" t="n">
        <v>45883</v>
      </c>
      <c r="E280" s="9" t="str">
        <f aca="false">IF($B280="","",IFERROR(INDEX(書籍!$B$2:$B$2000,MATCH($B280,書籍!$A$2:$A$2000,0)),"（沒建檔）"))</f>
        <v>深夜的約定</v>
      </c>
      <c r="F280" s="9" t="str">
        <f aca="false">IF($A280="","",IFERROR(INDEX(會員!$B$2:$B$2000,MATCH($A280,會員!$A$2:$A$2000,0)),"（沒建檔）"))</f>
        <v>黃芷萱</v>
      </c>
      <c r="G280" s="10" t="str">
        <f aca="false">IF($B280="","",IF($D280="","未還","已還"))</f>
        <v>已還</v>
      </c>
    </row>
    <row r="281" customFormat="false" ht="15" hidden="false" customHeight="false" outlineLevel="0" collapsed="false">
      <c r="A281" s="7" t="s">
        <v>51</v>
      </c>
      <c r="B281" s="7" t="s">
        <v>106</v>
      </c>
      <c r="C281" s="8" t="n">
        <v>45858</v>
      </c>
      <c r="D281" s="8" t="n">
        <v>45863</v>
      </c>
      <c r="E281" s="9" t="str">
        <f aca="false">IF($B281="","",IFERROR(INDEX(書籍!$B$2:$B$2000,MATCH($B281,書籍!$A$2:$A$2000,0)),"（沒建檔）"))</f>
        <v>轉角鋼琴師</v>
      </c>
      <c r="F281" s="9" t="str">
        <f aca="false">IF($A281="","",IFERROR(INDEX(會員!$B$2:$B$2000,MATCH($A281,會員!$A$2:$A$2000,0)),"（沒建檔）"))</f>
        <v>林子涵</v>
      </c>
      <c r="G281" s="10" t="str">
        <f aca="false">IF($B281="","",IF($D281="","未還","已還"))</f>
        <v>已還</v>
      </c>
    </row>
    <row r="282" customFormat="false" ht="15" hidden="false" customHeight="false" outlineLevel="0" collapsed="false">
      <c r="A282" s="7" t="s">
        <v>97</v>
      </c>
      <c r="B282" s="7" t="s">
        <v>145</v>
      </c>
      <c r="C282" s="8" t="n">
        <v>45859</v>
      </c>
      <c r="D282" s="8" t="n">
        <v>45878</v>
      </c>
      <c r="E282" s="9" t="str">
        <f aca="false">IF($B282="","",IFERROR(INDEX(書籍!$B$2:$B$2000,MATCH($B282,書籍!$A$2:$A$2000,0)),"（沒建檔）"))</f>
        <v>地下室地圖</v>
      </c>
      <c r="F282" s="9" t="str">
        <f aca="false">IF($A282="","",IFERROR(INDEX(會員!$B$2:$B$2000,MATCH($A282,會員!$A$2:$A$2000,0)),"（沒建檔）"))</f>
        <v>廖品妍</v>
      </c>
      <c r="G282" s="10" t="str">
        <f aca="false">IF($B282="","",IF($D282="","未還","已還"))</f>
        <v>已還</v>
      </c>
    </row>
    <row r="283" customFormat="false" ht="15" hidden="false" customHeight="false" outlineLevel="0" collapsed="false">
      <c r="A283" s="7" t="s">
        <v>77</v>
      </c>
      <c r="B283" s="7" t="s">
        <v>94</v>
      </c>
      <c r="C283" s="8" t="n">
        <v>45859</v>
      </c>
      <c r="D283" s="8" t="n">
        <v>45884</v>
      </c>
      <c r="E283" s="9" t="str">
        <f aca="false">IF($B283="","",IFERROR(INDEX(書籍!$B$2:$B$2000,MATCH($B283,書籍!$A$2:$A$2000,0)),"（沒建檔）"))</f>
        <v>藍色咖啡館</v>
      </c>
      <c r="F283" s="9" t="str">
        <f aca="false">IF($A283="","",IFERROR(INDEX(會員!$B$2:$B$2000,MATCH($A283,會員!$A$2:$A$2000,0)),"（沒建檔）"))</f>
        <v>吳柏翰</v>
      </c>
      <c r="G283" s="10" t="str">
        <f aca="false">IF($B283="","",IF($D283="","未還","已還"))</f>
        <v>已還</v>
      </c>
    </row>
    <row r="284" customFormat="false" ht="15" hidden="false" customHeight="false" outlineLevel="0" collapsed="false">
      <c r="A284" s="7" t="s">
        <v>51</v>
      </c>
      <c r="B284" s="7" t="s">
        <v>110</v>
      </c>
      <c r="C284" s="8" t="n">
        <v>45859</v>
      </c>
      <c r="D284" s="8" t="n">
        <v>45872</v>
      </c>
      <c r="E284" s="9" t="str">
        <f aca="false">IF($B284="","",IFERROR(INDEX(書籍!$B$2:$B$2000,MATCH($B284,書籍!$A$2:$A$2000,0)),"（沒建檔）"))</f>
        <v>雨中手記</v>
      </c>
      <c r="F284" s="9" t="str">
        <f aca="false">IF($A284="","",IFERROR(INDEX(會員!$B$2:$B$2000,MATCH($A284,會員!$A$2:$A$2000,0)),"（沒建檔）"))</f>
        <v>林子涵</v>
      </c>
      <c r="G284" s="10" t="str">
        <f aca="false">IF($B284="","",IF($D284="","未還","已還"))</f>
        <v>已還</v>
      </c>
    </row>
    <row r="285" customFormat="false" ht="15" hidden="false" customHeight="false" outlineLevel="0" collapsed="false">
      <c r="A285" s="7" t="s">
        <v>58</v>
      </c>
      <c r="B285" s="7" t="s">
        <v>159</v>
      </c>
      <c r="C285" s="8" t="n">
        <v>45859</v>
      </c>
      <c r="D285" s="8" t="n">
        <v>45863</v>
      </c>
      <c r="E285" s="9" t="str">
        <f aca="false">IF($B285="","",IFERROR(INDEX(書籍!$B$2:$B$2000,MATCH($B285,書籍!$A$2:$A$2000,0)),"（沒建檔）"))</f>
        <v>半路上的郵差</v>
      </c>
      <c r="F285" s="9" t="str">
        <f aca="false">IF($A285="","",IFERROR(INDEX(會員!$B$2:$B$2000,MATCH($A285,會員!$A$2:$A$2000,0)),"（沒建檔）"))</f>
        <v>賴思妤</v>
      </c>
      <c r="G285" s="10" t="str">
        <f aca="false">IF($B285="","",IF($D285="","未還","已還"))</f>
        <v>已還</v>
      </c>
    </row>
    <row r="286" customFormat="false" ht="15" hidden="false" customHeight="false" outlineLevel="0" collapsed="false">
      <c r="A286" s="7" t="s">
        <v>80</v>
      </c>
      <c r="B286" s="7" t="s">
        <v>103</v>
      </c>
      <c r="C286" s="8" t="n">
        <v>45860</v>
      </c>
      <c r="D286" s="8" t="n">
        <v>45881</v>
      </c>
      <c r="E286" s="9" t="str">
        <f aca="false">IF($B286="","",IFERROR(INDEX(書籍!$B$2:$B$2000,MATCH($B286,書籍!$A$2:$A$2000,0)),"（沒建檔）"))</f>
        <v>藍色約定</v>
      </c>
      <c r="F286" s="9" t="str">
        <f aca="false">IF($A286="","",IFERROR(INDEX(會員!$B$2:$B$2000,MATCH($A286,會員!$A$2:$A$2000,0)),"（沒建檔）"))</f>
        <v>洪詠晴</v>
      </c>
      <c r="G286" s="10" t="str">
        <f aca="false">IF($B286="","",IF($D286="","未還","已還"))</f>
        <v>已還</v>
      </c>
    </row>
    <row r="287" customFormat="false" ht="15" hidden="false" customHeight="false" outlineLevel="0" collapsed="false">
      <c r="A287" s="7" t="s">
        <v>44</v>
      </c>
      <c r="B287" s="7" t="s">
        <v>67</v>
      </c>
      <c r="C287" s="8" t="n">
        <v>45861</v>
      </c>
      <c r="D287" s="8" t="n">
        <v>45864</v>
      </c>
      <c r="E287" s="9" t="str">
        <f aca="false">IF($B287="","",IFERROR(INDEX(書籍!$B$2:$B$2000,MATCH($B287,書籍!$A$2:$A$2000,0)),"（沒建檔）"))</f>
        <v>最後一個祕密</v>
      </c>
      <c r="F287" s="9" t="str">
        <f aca="false">IF($A287="","",IFERROR(INDEX(會員!$B$2:$B$2000,MATCH($A287,會員!$A$2:$A$2000,0)),"（沒建檔）"))</f>
        <v>郭柏翰</v>
      </c>
      <c r="G287" s="10" t="str">
        <f aca="false">IF($B287="","",IF($D287="","未還","已還"))</f>
        <v>已還</v>
      </c>
    </row>
    <row r="288" customFormat="false" ht="15" hidden="false" customHeight="false" outlineLevel="0" collapsed="false">
      <c r="A288" s="7" t="s">
        <v>72</v>
      </c>
      <c r="B288" s="7" t="s">
        <v>147</v>
      </c>
      <c r="C288" s="8" t="n">
        <v>45861</v>
      </c>
      <c r="D288" s="8" t="n">
        <v>45878</v>
      </c>
      <c r="E288" s="9" t="str">
        <f aca="false">IF($B288="","",IFERROR(INDEX(書籍!$B$2:$B$2000,MATCH($B288,書籍!$A$2:$A$2000,0)),"（沒建檔）"))</f>
        <v>會說話的手記</v>
      </c>
      <c r="F288" s="9" t="str">
        <f aca="false">IF($A288="","",IFERROR(INDEX(會員!$B$2:$B$2000,MATCH($A288,會員!$A$2:$A$2000,0)),"（沒建檔）"))</f>
        <v>蔡季軒</v>
      </c>
      <c r="G288" s="10" t="str">
        <f aca="false">IF($B288="","",IF($D288="","未還","已還"))</f>
        <v>已還</v>
      </c>
    </row>
    <row r="289" customFormat="false" ht="15" hidden="false" customHeight="false" outlineLevel="0" collapsed="false">
      <c r="A289" s="7" t="s">
        <v>28</v>
      </c>
      <c r="B289" s="7" t="s">
        <v>157</v>
      </c>
      <c r="C289" s="8" t="n">
        <v>45861</v>
      </c>
      <c r="D289" s="8" t="n">
        <v>45884</v>
      </c>
      <c r="E289" s="9" t="str">
        <f aca="false">IF($B289="","",IFERROR(INDEX(書籍!$B$2:$B$2000,MATCH($B289,書籍!$A$2:$A$2000,0)),"（沒建檔）"))</f>
        <v>藍色季節</v>
      </c>
      <c r="F289" s="9" t="str">
        <f aca="false">IF($A289="","",IFERROR(INDEX(會員!$B$2:$B$2000,MATCH($A289,會員!$A$2:$A$2000,0)),"（沒建檔）"))</f>
        <v>郭妍希</v>
      </c>
      <c r="G289" s="10" t="str">
        <f aca="false">IF($B289="","",IF($D289="","未還","已還"))</f>
        <v>已還</v>
      </c>
    </row>
    <row r="290" customFormat="false" ht="15" hidden="false" customHeight="false" outlineLevel="0" collapsed="false">
      <c r="A290" s="7" t="s">
        <v>87</v>
      </c>
      <c r="B290" s="7" t="s">
        <v>139</v>
      </c>
      <c r="C290" s="8" t="n">
        <v>45862</v>
      </c>
      <c r="D290" s="8" t="n">
        <v>45871</v>
      </c>
      <c r="E290" s="9" t="str">
        <f aca="false">IF($B290="","",IFERROR(INDEX(書籍!$B$2:$B$2000,MATCH($B290,書籍!$A$2:$A$2000,0)),"（沒建檔）"))</f>
        <v>十二個島</v>
      </c>
      <c r="F290" s="9" t="str">
        <f aca="false">IF($A290="","",IFERROR(INDEX(會員!$B$2:$B$2000,MATCH($A290,會員!$A$2:$A$2000,0)),"（沒建檔）"))</f>
        <v>楊芷萱</v>
      </c>
      <c r="G290" s="10" t="str">
        <f aca="false">IF($B290="","",IF($D290="","未還","已還"))</f>
        <v>已還</v>
      </c>
    </row>
    <row r="291" customFormat="false" ht="15" hidden="false" customHeight="false" outlineLevel="0" collapsed="false">
      <c r="A291" s="7" t="s">
        <v>37</v>
      </c>
      <c r="B291" s="7" t="s">
        <v>27</v>
      </c>
      <c r="C291" s="8" t="n">
        <v>45862</v>
      </c>
      <c r="D291" s="8" t="n">
        <v>45864</v>
      </c>
      <c r="E291" s="9" t="str">
        <f aca="false">IF($B291="","",IFERROR(INDEX(書籍!$B$2:$B$2000,MATCH($B291,書籍!$A$2:$A$2000,0)),"（沒建檔）"))</f>
        <v>漫長的回信</v>
      </c>
      <c r="F291" s="9" t="str">
        <f aca="false">IF($A291="","",IFERROR(INDEX(會員!$B$2:$B$2000,MATCH($A291,會員!$A$2:$A$2000,0)),"（沒建檔）"))</f>
        <v>郭芷萱</v>
      </c>
      <c r="G291" s="10" t="str">
        <f aca="false">IF($B291="","",IF($D291="","未還","已還"))</f>
        <v>已還</v>
      </c>
    </row>
    <row r="292" customFormat="false" ht="15" hidden="false" customHeight="false" outlineLevel="0" collapsed="false">
      <c r="A292" s="7" t="s">
        <v>22</v>
      </c>
      <c r="B292" s="7" t="s">
        <v>127</v>
      </c>
      <c r="C292" s="8" t="n">
        <v>45863</v>
      </c>
      <c r="D292" s="8" t="n">
        <v>45893</v>
      </c>
      <c r="E292" s="9" t="str">
        <f aca="false">IF($B292="","",IFERROR(INDEX(書籍!$B$2:$B$2000,MATCH($B292,書籍!$A$2:$A$2000,0)),"（沒建檔）"))</f>
        <v>第七號鐘樓</v>
      </c>
      <c r="F292" s="9" t="str">
        <f aca="false">IF($A292="","",IFERROR(INDEX(會員!$B$2:$B$2000,MATCH($A292,會員!$A$2:$A$2000,0)),"（沒建檔）"))</f>
        <v>王思妤</v>
      </c>
      <c r="G292" s="10" t="str">
        <f aca="false">IF($B292="","",IF($D292="","未還","已還"))</f>
        <v>已還</v>
      </c>
    </row>
    <row r="293" customFormat="false" ht="15" hidden="false" customHeight="false" outlineLevel="0" collapsed="false">
      <c r="A293" s="7" t="s">
        <v>40</v>
      </c>
      <c r="B293" s="7" t="s">
        <v>33</v>
      </c>
      <c r="C293" s="8" t="n">
        <v>45864</v>
      </c>
      <c r="D293" s="8" t="n">
        <v>45890</v>
      </c>
      <c r="E293" s="9" t="str">
        <f aca="false">IF($B293="","",IFERROR(INDEX(書籍!$B$2:$B$2000,MATCH($B293,書籍!$A$2:$A$2000,0)),"（沒建檔）"))</f>
        <v>海邊的旅人</v>
      </c>
      <c r="F293" s="9" t="str">
        <f aca="false">IF($A293="","",IFERROR(INDEX(會員!$B$2:$B$2000,MATCH($A293,會員!$A$2:$A$2000,0)),"（沒建檔）"))</f>
        <v>賴佩珊</v>
      </c>
      <c r="G293" s="10" t="str">
        <f aca="false">IF($B293="","",IF($D293="","未還","已還"))</f>
        <v>已還</v>
      </c>
    </row>
    <row r="294" customFormat="false" ht="15" hidden="false" customHeight="false" outlineLevel="0" collapsed="false">
      <c r="A294" s="7" t="s">
        <v>56</v>
      </c>
      <c r="B294" s="7" t="s">
        <v>50</v>
      </c>
      <c r="C294" s="8" t="n">
        <v>45864</v>
      </c>
      <c r="D294" s="8" t="n">
        <v>45876</v>
      </c>
      <c r="E294" s="9" t="str">
        <f aca="false">IF($B294="","",IFERROR(INDEX(書籍!$B$2:$B$2000,MATCH($B294,書籍!$A$2:$A$2000,0)),"（沒建檔）"))</f>
        <v>月球地圖</v>
      </c>
      <c r="F294" s="9" t="str">
        <f aca="false">IF($A294="","",IFERROR(INDEX(會員!$B$2:$B$2000,MATCH($A294,會員!$A$2:$A$2000,0)),"（沒建檔）"))</f>
        <v>李季軒</v>
      </c>
      <c r="G294" s="10" t="str">
        <f aca="false">IF($B294="","",IF($D294="","未還","已還"))</f>
        <v>已還</v>
      </c>
    </row>
    <row r="295" customFormat="false" ht="15" hidden="false" customHeight="false" outlineLevel="0" collapsed="false">
      <c r="A295" s="7" t="s">
        <v>30</v>
      </c>
      <c r="B295" s="7" t="s">
        <v>36</v>
      </c>
      <c r="C295" s="8" t="n">
        <v>45865</v>
      </c>
      <c r="D295" s="8" t="n">
        <v>45891</v>
      </c>
      <c r="E295" s="9" t="str">
        <f aca="false">IF($B295="","",IFERROR(INDEX(書籍!$B$2:$B$2000,MATCH($B295,書籍!$A$2:$A$2000,0)),"（沒建檔）"))</f>
        <v>紙上的鋼琴師</v>
      </c>
      <c r="F295" s="9" t="str">
        <f aca="false">IF($A295="","",IFERROR(INDEX(會員!$B$2:$B$2000,MATCH($A295,會員!$A$2:$A$2000,0)),"（沒建檔）"))</f>
        <v>吳芃穎</v>
      </c>
      <c r="G295" s="10" t="str">
        <f aca="false">IF($B295="","",IF($D295="","未還","已還"))</f>
        <v>已還</v>
      </c>
    </row>
    <row r="296" customFormat="false" ht="15" hidden="false" customHeight="false" outlineLevel="0" collapsed="false">
      <c r="A296" s="7" t="s">
        <v>130</v>
      </c>
      <c r="B296" s="7" t="s">
        <v>138</v>
      </c>
      <c r="C296" s="8" t="n">
        <v>45867</v>
      </c>
      <c r="D296" s="8" t="n">
        <v>45897</v>
      </c>
      <c r="E296" s="9" t="str">
        <f aca="false">IF($B296="","",IFERROR(INDEX(書籍!$B$2:$B$2000,MATCH($B296,書籍!$A$2:$A$2000,0)),"（沒建檔）"))</f>
        <v>沉默的鐘樓</v>
      </c>
      <c r="F296" s="9" t="str">
        <f aca="false">IF($A296="","",IFERROR(INDEX(會員!$B$2:$B$2000,MATCH($A296,會員!$A$2:$A$2000,0)),"（沒建檔）"))</f>
        <v>林子涵</v>
      </c>
      <c r="G296" s="10" t="str">
        <f aca="false">IF($B296="","",IF($D296="","未還","已還"))</f>
        <v>已還</v>
      </c>
    </row>
    <row r="297" customFormat="false" ht="15" hidden="false" customHeight="false" outlineLevel="0" collapsed="false">
      <c r="A297" s="7" t="s">
        <v>51</v>
      </c>
      <c r="B297" s="7" t="s">
        <v>108</v>
      </c>
      <c r="C297" s="8" t="n">
        <v>45868</v>
      </c>
      <c r="D297" s="8" t="n">
        <v>45898</v>
      </c>
      <c r="E297" s="9" t="str">
        <f aca="false">IF($B297="","",IFERROR(INDEX(書籍!$B$2:$B$2000,MATCH($B297,書籍!$A$2:$A$2000,0)),"（沒建檔）"))</f>
        <v>兩個人的森林</v>
      </c>
      <c r="F297" s="9" t="str">
        <f aca="false">IF($A297="","",IFERROR(INDEX(會員!$B$2:$B$2000,MATCH($A297,會員!$A$2:$A$2000,0)),"（沒建檔）"))</f>
        <v>林子涵</v>
      </c>
      <c r="G297" s="10" t="str">
        <f aca="false">IF($B297="","",IF($D297="","未還","已還"))</f>
        <v>已還</v>
      </c>
    </row>
    <row r="298" customFormat="false" ht="15" hidden="false" customHeight="false" outlineLevel="0" collapsed="false">
      <c r="A298" s="7" t="s">
        <v>28</v>
      </c>
      <c r="B298" s="7" t="s">
        <v>128</v>
      </c>
      <c r="C298" s="8" t="n">
        <v>45869</v>
      </c>
      <c r="D298" s="8" t="n">
        <v>45890</v>
      </c>
      <c r="E298" s="9" t="str">
        <f aca="false">IF($B298="","",IFERROR(INDEX(書籍!$B$2:$B$2000,MATCH($B298,書籍!$A$2:$A$2000,0)),"（沒建檔）"))</f>
        <v>地下室夏天</v>
      </c>
      <c r="F298" s="9" t="str">
        <f aca="false">IF($A298="","",IFERROR(INDEX(會員!$B$2:$B$2000,MATCH($A298,會員!$A$2:$A$2000,0)),"（沒建檔）"))</f>
        <v>郭妍希</v>
      </c>
      <c r="G298" s="10" t="str">
        <f aca="false">IF($B298="","",IF($D298="","未還","已還"))</f>
        <v>已還</v>
      </c>
    </row>
    <row r="299" customFormat="false" ht="15" hidden="false" customHeight="false" outlineLevel="0" collapsed="false">
      <c r="A299" s="7" t="s">
        <v>24</v>
      </c>
      <c r="B299" s="7" t="s">
        <v>114</v>
      </c>
      <c r="C299" s="8" t="n">
        <v>45870</v>
      </c>
      <c r="D299" s="8" t="n">
        <v>45897</v>
      </c>
      <c r="E299" s="9" t="str">
        <f aca="false">IF($B299="","",IFERROR(INDEX(書籍!$B$2:$B$2000,MATCH($B299,書籍!$A$2:$A$2000,0)),"（沒建檔）"))</f>
        <v>漫長的偵探</v>
      </c>
      <c r="F299" s="9" t="str">
        <f aca="false">IF($A299="","",IFERROR(INDEX(會員!$B$2:$B$2000,MATCH($A299,會員!$A$2:$A$2000,0)),"（沒建檔）"))</f>
        <v>吳雅婷</v>
      </c>
      <c r="G299" s="10" t="str">
        <f aca="false">IF($B299="","",IF($D299="","未還","已還"))</f>
        <v>已還</v>
      </c>
    </row>
    <row r="300" customFormat="false" ht="15" hidden="false" customHeight="false" outlineLevel="0" collapsed="false">
      <c r="A300" s="7" t="s">
        <v>154</v>
      </c>
      <c r="B300" s="7" t="s">
        <v>96</v>
      </c>
      <c r="C300" s="8" t="n">
        <v>45870</v>
      </c>
      <c r="D300" s="8" t="n">
        <v>45871</v>
      </c>
      <c r="E300" s="9" t="str">
        <f aca="false">IF($B300="","",IFERROR(INDEX(書籍!$B$2:$B$2000,MATCH($B300,書籍!$A$2:$A$2000,0)),"（沒建檔）"))</f>
        <v>看不見的信</v>
      </c>
      <c r="F300" s="9" t="str">
        <f aca="false">IF($A300="","",IFERROR(INDEX(會員!$B$2:$B$2000,MATCH($A300,會員!$A$2:$A$2000,0)),"（沒建檔）"))</f>
        <v>陳雅婷</v>
      </c>
      <c r="G300" s="10" t="str">
        <f aca="false">IF($B300="","",IF($D300="","未還","已還"))</f>
        <v>已還</v>
      </c>
    </row>
    <row r="301" customFormat="false" ht="15" hidden="false" customHeight="false" outlineLevel="0" collapsed="false">
      <c r="A301" s="7" t="s">
        <v>77</v>
      </c>
      <c r="B301" s="7" t="s">
        <v>118</v>
      </c>
      <c r="C301" s="8" t="n">
        <v>45870</v>
      </c>
      <c r="D301" s="8" t="n">
        <v>45876</v>
      </c>
      <c r="E301" s="9" t="str">
        <f aca="false">IF($B301="","",IFERROR(INDEX(書籍!$B$2:$B$2000,MATCH($B301,書籍!$A$2:$A$2000,0)),"（沒建檔）"))</f>
        <v>地下室貓</v>
      </c>
      <c r="F301" s="9" t="str">
        <f aca="false">IF($A301="","",IFERROR(INDEX(會員!$B$2:$B$2000,MATCH($A301,會員!$A$2:$A$2000,0)),"（沒建檔）"))</f>
        <v>吳柏翰</v>
      </c>
      <c r="G301" s="10" t="str">
        <f aca="false">IF($B301="","",IF($D301="","未還","已還"))</f>
        <v>已還</v>
      </c>
    </row>
    <row r="302" customFormat="false" ht="15" hidden="false" customHeight="false" outlineLevel="0" collapsed="false">
      <c r="A302" s="7" t="s">
        <v>154</v>
      </c>
      <c r="B302" s="7" t="s">
        <v>119</v>
      </c>
      <c r="C302" s="8" t="n">
        <v>45870</v>
      </c>
      <c r="D302" s="8" t="n">
        <v>45883</v>
      </c>
      <c r="E302" s="9" t="str">
        <f aca="false">IF($B302="","",IFERROR(INDEX(書籍!$B$2:$B$2000,MATCH($B302,書籍!$A$2:$A$2000,0)),"（沒建檔）"))</f>
        <v>藍色河</v>
      </c>
      <c r="F302" s="9" t="str">
        <f aca="false">IF($A302="","",IFERROR(INDEX(會員!$B$2:$B$2000,MATCH($A302,會員!$A$2:$A$2000,0)),"（沒建檔）"))</f>
        <v>陳雅婷</v>
      </c>
      <c r="G302" s="10" t="str">
        <f aca="false">IF($B302="","",IF($D302="","未還","已還"))</f>
        <v>已還</v>
      </c>
    </row>
    <row r="303" customFormat="false" ht="15" hidden="false" customHeight="false" outlineLevel="0" collapsed="false">
      <c r="A303" s="7" t="s">
        <v>32</v>
      </c>
      <c r="B303" s="7" t="s">
        <v>91</v>
      </c>
      <c r="C303" s="8" t="n">
        <v>45870</v>
      </c>
      <c r="D303" s="8" t="n">
        <v>45872</v>
      </c>
      <c r="E303" s="9" t="str">
        <f aca="false">IF($B303="","",IFERROR(INDEX(書籍!$B$2:$B$2000,MATCH($B303,書籍!$A$2:$A$2000,0)),"（沒建檔）"))</f>
        <v>最後一個偵探</v>
      </c>
      <c r="F303" s="9" t="str">
        <f aca="false">IF($A303="","",IFERROR(INDEX(會員!$B$2:$B$2000,MATCH($A303,會員!$A$2:$A$2000,0)),"（沒建檔）"))</f>
        <v>李子涵</v>
      </c>
      <c r="G303" s="10" t="str">
        <f aca="false">IF($B303="","",IF($D303="","未還","已還"))</f>
        <v>已還</v>
      </c>
    </row>
    <row r="304" customFormat="false" ht="15" hidden="false" customHeight="false" outlineLevel="0" collapsed="false">
      <c r="A304" s="7" t="s">
        <v>154</v>
      </c>
      <c r="B304" s="7" t="s">
        <v>158</v>
      </c>
      <c r="C304" s="8" t="n">
        <v>45871</v>
      </c>
      <c r="D304" s="8" t="n">
        <v>45872</v>
      </c>
      <c r="E304" s="9" t="str">
        <f aca="false">IF($B304="","",IFERROR(INDEX(書籍!$B$2:$B$2000,MATCH($B304,書籍!$A$2:$A$2000,0)),"（沒建檔）"))</f>
        <v>遺失的鋼琴師</v>
      </c>
      <c r="F304" s="9" t="str">
        <f aca="false">IF($A304="","",IFERROR(INDEX(會員!$B$2:$B$2000,MATCH($A304,會員!$A$2:$A$2000,0)),"（沒建檔）"))</f>
        <v>陳雅婷</v>
      </c>
      <c r="G304" s="10" t="str">
        <f aca="false">IF($B304="","",IF($D304="","未還","已還"))</f>
        <v>已還</v>
      </c>
    </row>
    <row r="305" customFormat="false" ht="15" hidden="false" customHeight="false" outlineLevel="0" collapsed="false">
      <c r="A305" s="7" t="s">
        <v>130</v>
      </c>
      <c r="B305" s="7" t="s">
        <v>52</v>
      </c>
      <c r="C305" s="8" t="n">
        <v>45872</v>
      </c>
      <c r="D305" s="8" t="n">
        <v>45890</v>
      </c>
      <c r="E305" s="9" t="str">
        <f aca="false">IF($B305="","",IFERROR(INDEX(書籍!$B$2:$B$2000,MATCH($B305,書籍!$A$2:$A$2000,0)),"（沒建檔）"))</f>
        <v>十二個河</v>
      </c>
      <c r="F305" s="9" t="str">
        <f aca="false">IF($A305="","",IFERROR(INDEX(會員!$B$2:$B$2000,MATCH($A305,會員!$A$2:$A$2000,0)),"（沒建檔）"))</f>
        <v>林子涵</v>
      </c>
      <c r="G305" s="10" t="str">
        <f aca="false">IF($B305="","",IF($D305="","未還","已還"))</f>
        <v>已還</v>
      </c>
    </row>
    <row r="306" customFormat="false" ht="15" hidden="false" customHeight="false" outlineLevel="0" collapsed="false">
      <c r="A306" s="7" t="s">
        <v>37</v>
      </c>
      <c r="B306" s="7" t="s">
        <v>23</v>
      </c>
      <c r="C306" s="8" t="n">
        <v>45872</v>
      </c>
      <c r="D306" s="8" t="n">
        <v>45896</v>
      </c>
      <c r="E306" s="9" t="str">
        <f aca="false">IF($B306="","",IFERROR(INDEX(書籍!$B$2:$B$2000,MATCH($B306,書籍!$A$2:$A$2000,0)),"（沒建檔）"))</f>
        <v>漫長的夏天</v>
      </c>
      <c r="F306" s="9" t="str">
        <f aca="false">IF($A306="","",IFERROR(INDEX(會員!$B$2:$B$2000,MATCH($A306,會員!$A$2:$A$2000,0)),"（沒建檔）"))</f>
        <v>郭芷萱</v>
      </c>
      <c r="G306" s="10" t="str">
        <f aca="false">IF($B306="","",IF($D306="","未還","已還"))</f>
        <v>已還</v>
      </c>
    </row>
    <row r="307" customFormat="false" ht="15" hidden="false" customHeight="false" outlineLevel="0" collapsed="false">
      <c r="A307" s="7" t="s">
        <v>46</v>
      </c>
      <c r="B307" s="7" t="s">
        <v>98</v>
      </c>
      <c r="C307" s="8" t="n">
        <v>45873</v>
      </c>
      <c r="D307" s="8" t="n">
        <v>45889</v>
      </c>
      <c r="E307" s="9" t="str">
        <f aca="false">IF($B307="","",IFERROR(INDEX(書籍!$B$2:$B$2000,MATCH($B307,書籍!$A$2:$A$2000,0)),"（沒建檔）"))</f>
        <v>北方廚房</v>
      </c>
      <c r="F307" s="9" t="str">
        <f aca="false">IF($A307="","",IFERROR(INDEX(會員!$B$2:$B$2000,MATCH($A307,會員!$A$2:$A$2000,0)),"（沒建檔）"))</f>
        <v>郭思妤</v>
      </c>
      <c r="G307" s="10" t="str">
        <f aca="false">IF($B307="","",IF($D307="","未還","已還"))</f>
        <v>已還</v>
      </c>
    </row>
    <row r="308" customFormat="false" ht="15" hidden="false" customHeight="false" outlineLevel="0" collapsed="false">
      <c r="A308" s="7" t="s">
        <v>129</v>
      </c>
      <c r="B308" s="7" t="s">
        <v>144</v>
      </c>
      <c r="C308" s="8" t="n">
        <v>45879</v>
      </c>
      <c r="D308" s="8" t="n">
        <v>45883</v>
      </c>
      <c r="E308" s="9" t="str">
        <f aca="false">IF($B308="","",IFERROR(INDEX(書籍!$B$2:$B$2000,MATCH($B308,書籍!$A$2:$A$2000,0)),"（沒建檔）"))</f>
        <v>小鎮偵探</v>
      </c>
      <c r="F308" s="9" t="str">
        <f aca="false">IF($A308="","",IFERROR(INDEX(會員!$B$2:$B$2000,MATCH($A308,會員!$A$2:$A$2000,0)),"（沒建檔）"))</f>
        <v>劉柏翰</v>
      </c>
      <c r="G308" s="10" t="str">
        <f aca="false">IF($B308="","",IF($D308="","未還","已還"))</f>
        <v>已還</v>
      </c>
    </row>
    <row r="309" customFormat="false" ht="15" hidden="false" customHeight="false" outlineLevel="0" collapsed="false">
      <c r="A309" s="7" t="s">
        <v>130</v>
      </c>
      <c r="B309" s="7" t="s">
        <v>91</v>
      </c>
      <c r="C309" s="8" t="n">
        <v>45879</v>
      </c>
      <c r="D309" s="8" t="n">
        <v>45882</v>
      </c>
      <c r="E309" s="9" t="str">
        <f aca="false">IF($B309="","",IFERROR(INDEX(書籍!$B$2:$B$2000,MATCH($B309,書籍!$A$2:$A$2000,0)),"（沒建檔）"))</f>
        <v>最後一個偵探</v>
      </c>
      <c r="F309" s="9" t="str">
        <f aca="false">IF($A309="","",IFERROR(INDEX(會員!$B$2:$B$2000,MATCH($A309,會員!$A$2:$A$2000,0)),"（沒建檔）"))</f>
        <v>林子涵</v>
      </c>
      <c r="G309" s="10" t="str">
        <f aca="false">IF($B309="","",IF($D309="","未還","已還"))</f>
        <v>已還</v>
      </c>
    </row>
    <row r="310" customFormat="false" ht="15" hidden="false" customHeight="false" outlineLevel="0" collapsed="false">
      <c r="A310" s="7" t="s">
        <v>22</v>
      </c>
      <c r="B310" s="7" t="s">
        <v>120</v>
      </c>
      <c r="C310" s="8" t="n">
        <v>45879</v>
      </c>
      <c r="D310" s="8" t="n">
        <v>45891</v>
      </c>
      <c r="E310" s="9" t="str">
        <f aca="false">IF($B310="","",IFERROR(INDEX(書籍!$B$2:$B$2000,MATCH($B310,書籍!$A$2:$A$2000,0)),"（沒建檔）"))</f>
        <v>月球廚房</v>
      </c>
      <c r="F310" s="9" t="str">
        <f aca="false">IF($A310="","",IFERROR(INDEX(會員!$B$2:$B$2000,MATCH($A310,會員!$A$2:$A$2000,0)),"（沒建檔）"))</f>
        <v>王思妤</v>
      </c>
      <c r="G310" s="10" t="str">
        <f aca="false">IF($B310="","",IF($D310="","未還","已還"))</f>
        <v>已還</v>
      </c>
    </row>
    <row r="311" customFormat="false" ht="15" hidden="false" customHeight="false" outlineLevel="0" collapsed="false">
      <c r="A311" s="7" t="s">
        <v>129</v>
      </c>
      <c r="B311" s="7" t="s">
        <v>31</v>
      </c>
      <c r="C311" s="8" t="n">
        <v>45880</v>
      </c>
      <c r="D311" s="8" t="n">
        <v>45881</v>
      </c>
      <c r="E311" s="9" t="str">
        <f aca="false">IF($B311="","",IFERROR(INDEX(書籍!$B$2:$B$2000,MATCH($B311,書籍!$A$2:$A$2000,0)),"（沒建檔）"))</f>
        <v>沉默的鋼琴師</v>
      </c>
      <c r="F311" s="9" t="str">
        <f aca="false">IF($A311="","",IFERROR(INDEX(會員!$B$2:$B$2000,MATCH($A311,會員!$A$2:$A$2000,0)),"（沒建檔）"))</f>
        <v>劉柏翰</v>
      </c>
      <c r="G311" s="10" t="str">
        <f aca="false">IF($B311="","",IF($D311="","未還","已還"))</f>
        <v>已還</v>
      </c>
    </row>
    <row r="312" customFormat="false" ht="15" hidden="false" customHeight="false" outlineLevel="0" collapsed="false">
      <c r="A312" s="7" t="s">
        <v>26</v>
      </c>
      <c r="B312" s="7" t="s">
        <v>115</v>
      </c>
      <c r="C312" s="8" t="n">
        <v>45881</v>
      </c>
      <c r="D312" s="8" t="n">
        <v>45899</v>
      </c>
      <c r="E312" s="9" t="str">
        <f aca="false">IF($B312="","",IFERROR(INDEX(書籍!$B$2:$B$2000,MATCH($B312,書籍!$A$2:$A$2000,0)),"（沒建檔）"))</f>
        <v>會說話的偵探</v>
      </c>
      <c r="F312" s="9" t="str">
        <f aca="false">IF($A312="","",IFERROR(INDEX(會員!$B$2:$B$2000,MATCH($A312,會員!$A$2:$A$2000,0)),"（沒建檔）"))</f>
        <v>曾淑芬</v>
      </c>
      <c r="G312" s="10" t="str">
        <f aca="false">IF($B312="","",IF($D312="","未還","已還"))</f>
        <v>已還</v>
      </c>
    </row>
    <row r="313" customFormat="false" ht="15" hidden="false" customHeight="false" outlineLevel="0" collapsed="false">
      <c r="A313" s="7" t="s">
        <v>30</v>
      </c>
      <c r="B313" s="7" t="s">
        <v>29</v>
      </c>
      <c r="C313" s="8" t="n">
        <v>45882</v>
      </c>
      <c r="D313" s="8" t="n">
        <v>45909</v>
      </c>
      <c r="E313" s="9" t="str">
        <f aca="false">IF($B313="","",IFERROR(INDEX(書籍!$B$2:$B$2000,MATCH($B313,書籍!$A$2:$A$2000,0)),"（沒建檔）"))</f>
        <v>十二個廚房</v>
      </c>
      <c r="F313" s="9" t="str">
        <f aca="false">IF($A313="","",IFERROR(INDEX(會員!$B$2:$B$2000,MATCH($A313,會員!$A$2:$A$2000,0)),"（沒建檔）"))</f>
        <v>吳芃穎</v>
      </c>
      <c r="G313" s="10" t="str">
        <f aca="false">IF($B313="","",IF($D313="","未還","已還"))</f>
        <v>已還</v>
      </c>
    </row>
    <row r="314" customFormat="false" ht="15" hidden="false" customHeight="false" outlineLevel="0" collapsed="false">
      <c r="A314" s="7" t="s">
        <v>26</v>
      </c>
      <c r="B314" s="7" t="s">
        <v>104</v>
      </c>
      <c r="C314" s="8" t="n">
        <v>45882</v>
      </c>
      <c r="D314" s="8" t="n">
        <v>45890</v>
      </c>
      <c r="E314" s="9" t="str">
        <f aca="false">IF($B314="","",IFERROR(INDEX(書籍!$B$2:$B$2000,MATCH($B314,書籍!$A$2:$A$2000,0)),"（沒建檔）"))</f>
        <v>藍色郵差</v>
      </c>
      <c r="F314" s="9" t="str">
        <f aca="false">IF($A314="","",IFERROR(INDEX(會員!$B$2:$B$2000,MATCH($A314,會員!$A$2:$A$2000,0)),"（沒建檔）"))</f>
        <v>曾淑芬</v>
      </c>
      <c r="G314" s="10" t="str">
        <f aca="false">IF($B314="","",IF($D314="","未還","已還"))</f>
        <v>已還</v>
      </c>
    </row>
    <row r="315" customFormat="false" ht="15" hidden="false" customHeight="false" outlineLevel="0" collapsed="false">
      <c r="A315" s="7" t="s">
        <v>40</v>
      </c>
      <c r="B315" s="7" t="s">
        <v>48</v>
      </c>
      <c r="C315" s="8" t="n">
        <v>45882</v>
      </c>
      <c r="D315" s="8" t="n">
        <v>45883</v>
      </c>
      <c r="E315" s="9" t="str">
        <f aca="false">IF($B315="","",IFERROR(INDEX(書籍!$B$2:$B$2000,MATCH($B315,書籍!$A$2:$A$2000,0)),"（沒建檔）"))</f>
        <v>月球燈塔</v>
      </c>
      <c r="F315" s="9" t="str">
        <f aca="false">IF($A315="","",IFERROR(INDEX(會員!$B$2:$B$2000,MATCH($A315,會員!$A$2:$A$2000,0)),"（沒建檔）"))</f>
        <v>賴佩珊</v>
      </c>
      <c r="G315" s="10" t="str">
        <f aca="false">IF($B315="","",IF($D315="","未還","已還"))</f>
        <v>已還</v>
      </c>
    </row>
    <row r="316" customFormat="false" ht="15" hidden="false" customHeight="false" outlineLevel="0" collapsed="false">
      <c r="A316" s="7" t="s">
        <v>66</v>
      </c>
      <c r="B316" s="7" t="s">
        <v>147</v>
      </c>
      <c r="C316" s="8" t="n">
        <v>45882</v>
      </c>
      <c r="D316" s="8" t="n">
        <v>45899</v>
      </c>
      <c r="E316" s="9" t="str">
        <f aca="false">IF($B316="","",IFERROR(INDEX(書籍!$B$2:$B$2000,MATCH($B316,書籍!$A$2:$A$2000,0)),"（沒建檔）"))</f>
        <v>會說話的手記</v>
      </c>
      <c r="F316" s="9" t="str">
        <f aca="false">IF($A316="","",IFERROR(INDEX(會員!$B$2:$B$2000,MATCH($A316,會員!$A$2:$A$2000,0)),"（沒建檔）"))</f>
        <v>郭柏翰</v>
      </c>
      <c r="G316" s="10" t="str">
        <f aca="false">IF($B316="","",IF($D316="","未還","已還"))</f>
        <v>已還</v>
      </c>
    </row>
    <row r="317" customFormat="false" ht="15" hidden="false" customHeight="false" outlineLevel="0" collapsed="false">
      <c r="A317" s="7" t="s">
        <v>51</v>
      </c>
      <c r="B317" s="7" t="s">
        <v>141</v>
      </c>
      <c r="C317" s="8" t="n">
        <v>45883</v>
      </c>
      <c r="D317" s="8" t="n">
        <v>45908</v>
      </c>
      <c r="E317" s="9" t="str">
        <f aca="false">IF($B317="","",IFERROR(INDEX(書籍!$B$2:$B$2000,MATCH($B317,書籍!$A$2:$A$2000,0)),"（沒建檔）"))</f>
        <v>十二個書店</v>
      </c>
      <c r="F317" s="9" t="str">
        <f aca="false">IF($A317="","",IFERROR(INDEX(會員!$B$2:$B$2000,MATCH($A317,會員!$A$2:$A$2000,0)),"（沒建檔）"))</f>
        <v>林子涵</v>
      </c>
      <c r="G317" s="10" t="str">
        <f aca="false">IF($B317="","",IF($D317="","未還","已還"))</f>
        <v>已還</v>
      </c>
    </row>
    <row r="318" customFormat="false" ht="15" hidden="false" customHeight="false" outlineLevel="0" collapsed="false">
      <c r="A318" s="7" t="s">
        <v>130</v>
      </c>
      <c r="B318" s="7" t="s">
        <v>133</v>
      </c>
      <c r="C318" s="8" t="n">
        <v>45884</v>
      </c>
      <c r="D318" s="8" t="n">
        <v>45894</v>
      </c>
      <c r="E318" s="9" t="str">
        <f aca="false">IF($B318="","",IFERROR(INDEX(書籍!$B$2:$B$2000,MATCH($B318,書籍!$A$2:$A$2000,0)),"（沒建檔）"))</f>
        <v>深夜的咖啡館</v>
      </c>
      <c r="F318" s="9" t="str">
        <f aca="false">IF($A318="","",IFERROR(INDEX(會員!$B$2:$B$2000,MATCH($A318,會員!$A$2:$A$2000,0)),"（沒建檔）"))</f>
        <v>林子涵</v>
      </c>
      <c r="G318" s="10" t="str">
        <f aca="false">IF($B318="","",IF($D318="","未還","已還"))</f>
        <v>已還</v>
      </c>
    </row>
    <row r="319" customFormat="false" ht="15" hidden="false" customHeight="false" outlineLevel="0" collapsed="false">
      <c r="A319" s="7" t="s">
        <v>51</v>
      </c>
      <c r="B319" s="7" t="s">
        <v>134</v>
      </c>
      <c r="C319" s="8" t="n">
        <v>45884</v>
      </c>
      <c r="D319" s="8" t="n">
        <v>45907</v>
      </c>
      <c r="E319" s="9" t="str">
        <f aca="false">IF($B319="","",IFERROR(INDEX(書籍!$B$2:$B$2000,MATCH($B319,書籍!$A$2:$A$2000,0)),"（沒建檔）"))</f>
        <v>紙上的鋼琴師</v>
      </c>
      <c r="F319" s="9" t="str">
        <f aca="false">IF($A319="","",IFERROR(INDEX(會員!$B$2:$B$2000,MATCH($A319,會員!$A$2:$A$2000,0)),"（沒建檔）"))</f>
        <v>林子涵</v>
      </c>
      <c r="G319" s="10" t="str">
        <f aca="false">IF($B319="","",IF($D319="","未還","已還"))</f>
        <v>已還</v>
      </c>
    </row>
    <row r="320" customFormat="false" ht="15" hidden="false" customHeight="false" outlineLevel="0" collapsed="false">
      <c r="A320" s="7" t="s">
        <v>130</v>
      </c>
      <c r="B320" s="7" t="s">
        <v>125</v>
      </c>
      <c r="C320" s="8" t="n">
        <v>45885</v>
      </c>
      <c r="D320" s="8" t="n">
        <v>45888</v>
      </c>
      <c r="E320" s="9" t="str">
        <f aca="false">IF($B320="","",IFERROR(INDEX(書籍!$B$2:$B$2000,MATCH($B320,書籍!$A$2:$A$2000,0)),"（沒建檔）"))</f>
        <v>會說話的夏天</v>
      </c>
      <c r="F320" s="9" t="str">
        <f aca="false">IF($A320="","",IFERROR(INDEX(會員!$B$2:$B$2000,MATCH($A320,會員!$A$2:$A$2000,0)),"（沒建檔）"))</f>
        <v>林子涵</v>
      </c>
      <c r="G320" s="10" t="str">
        <f aca="false">IF($B320="","",IF($D320="","未還","已還"))</f>
        <v>已還</v>
      </c>
    </row>
    <row r="321" customFormat="false" ht="15" hidden="false" customHeight="false" outlineLevel="0" collapsed="false">
      <c r="A321" s="7" t="s">
        <v>99</v>
      </c>
      <c r="B321" s="7" t="s">
        <v>137</v>
      </c>
      <c r="C321" s="8" t="n">
        <v>45886</v>
      </c>
      <c r="D321" s="8" t="n">
        <v>45906</v>
      </c>
      <c r="E321" s="9" t="str">
        <f aca="false">IF($B321="","",IFERROR(INDEX(書籍!$B$2:$B$2000,MATCH($B321,書籍!$A$2:$A$2000,0)),"（沒建檔）"))</f>
        <v>半路上的回信</v>
      </c>
      <c r="F321" s="9" t="str">
        <f aca="false">IF($A321="","",IFERROR(INDEX(會員!$B$2:$B$2000,MATCH($A321,會員!$A$2:$A$2000,0)),"（沒建檔）"))</f>
        <v>王芷萱</v>
      </c>
      <c r="G321" s="10" t="str">
        <f aca="false">IF($B321="","",IF($D321="","未還","已還"))</f>
        <v>已還</v>
      </c>
    </row>
    <row r="322" customFormat="false" ht="15" hidden="false" customHeight="false" outlineLevel="0" collapsed="false">
      <c r="A322" s="7" t="s">
        <v>107</v>
      </c>
      <c r="B322" s="7" t="s">
        <v>136</v>
      </c>
      <c r="C322" s="8" t="n">
        <v>45888</v>
      </c>
      <c r="D322" s="8" t="n">
        <v>45902</v>
      </c>
      <c r="E322" s="9" t="str">
        <f aca="false">IF($B322="","",IFERROR(INDEX(書籍!$B$2:$B$2000,MATCH($B322,書籍!$A$2:$A$2000,0)),"（沒建檔）"))</f>
        <v>海邊的廚房</v>
      </c>
      <c r="F322" s="9" t="str">
        <f aca="false">IF($A322="","",IFERROR(INDEX(會員!$B$2:$B$2000,MATCH($A322,會員!$A$2:$A$2000,0)),"（沒建檔）"))</f>
        <v>陳祐誠</v>
      </c>
      <c r="G322" s="10" t="str">
        <f aca="false">IF($B322="","",IF($D322="","未還","已還"))</f>
        <v>已還</v>
      </c>
    </row>
    <row r="323" customFormat="false" ht="15" hidden="false" customHeight="false" outlineLevel="0" collapsed="false">
      <c r="A323" s="7" t="s">
        <v>40</v>
      </c>
      <c r="B323" s="7" t="s">
        <v>55</v>
      </c>
      <c r="C323" s="8" t="n">
        <v>45889</v>
      </c>
      <c r="D323" s="8" t="n">
        <v>45915</v>
      </c>
      <c r="E323" s="9" t="str">
        <f aca="false">IF($B323="","",IFERROR(INDEX(書籍!$B$2:$B$2000,MATCH($B323,書籍!$A$2:$A$2000,0)),"（沒建檔）"))</f>
        <v>漫長的鐘樓</v>
      </c>
      <c r="F323" s="9" t="str">
        <f aca="false">IF($A323="","",IFERROR(INDEX(會員!$B$2:$B$2000,MATCH($A323,會員!$A$2:$A$2000,0)),"（沒建檔）"))</f>
        <v>賴佩珊</v>
      </c>
      <c r="G323" s="10" t="str">
        <f aca="false">IF($B323="","",IF($D323="","未還","已還"))</f>
        <v>已還</v>
      </c>
    </row>
    <row r="324" customFormat="false" ht="15" hidden="false" customHeight="false" outlineLevel="0" collapsed="false">
      <c r="A324" s="7" t="s">
        <v>58</v>
      </c>
      <c r="B324" s="7" t="s">
        <v>144</v>
      </c>
      <c r="C324" s="8" t="n">
        <v>45889</v>
      </c>
      <c r="D324" s="8" t="n">
        <v>45917</v>
      </c>
      <c r="E324" s="9" t="str">
        <f aca="false">IF($B324="","",IFERROR(INDEX(書籍!$B$2:$B$2000,MATCH($B324,書籍!$A$2:$A$2000,0)),"（沒建檔）"))</f>
        <v>小鎮偵探</v>
      </c>
      <c r="F324" s="9" t="str">
        <f aca="false">IF($A324="","",IFERROR(INDEX(會員!$B$2:$B$2000,MATCH($A324,會員!$A$2:$A$2000,0)),"（沒建檔）"))</f>
        <v>賴思妤</v>
      </c>
      <c r="G324" s="10" t="str">
        <f aca="false">IF($B324="","",IF($D324="","未還","已還"))</f>
        <v>已還</v>
      </c>
    </row>
    <row r="325" customFormat="false" ht="15" hidden="false" customHeight="false" outlineLevel="0" collapsed="false">
      <c r="A325" s="7" t="s">
        <v>54</v>
      </c>
      <c r="B325" s="7" t="s">
        <v>61</v>
      </c>
      <c r="C325" s="8" t="n">
        <v>45889</v>
      </c>
      <c r="D325" s="8" t="n">
        <v>45900</v>
      </c>
      <c r="E325" s="9" t="str">
        <f aca="false">IF($B325="","",IFERROR(INDEX(書籍!$B$2:$B$2000,MATCH($B325,書籍!$A$2:$A$2000,0)),"（沒建檔）"))</f>
        <v>沉默的廚房</v>
      </c>
      <c r="F325" s="9" t="str">
        <f aca="false">IF($A325="","",IFERROR(INDEX(會員!$B$2:$B$2000,MATCH($A325,會員!$A$2:$A$2000,0)),"（沒建檔）"))</f>
        <v>洪季軒</v>
      </c>
      <c r="G325" s="10" t="str">
        <f aca="false">IF($B325="","",IF($D325="","未還","已還"))</f>
        <v>已還</v>
      </c>
    </row>
    <row r="326" customFormat="false" ht="15" hidden="false" customHeight="false" outlineLevel="0" collapsed="false">
      <c r="A326" s="7" t="s">
        <v>42</v>
      </c>
      <c r="B326" s="7" t="s">
        <v>41</v>
      </c>
      <c r="C326" s="8" t="n">
        <v>45889</v>
      </c>
      <c r="D326" s="8" t="n">
        <v>45914</v>
      </c>
      <c r="E326" s="9" t="str">
        <f aca="false">IF($B326="","",IFERROR(INDEX(書籍!$B$2:$B$2000,MATCH($B326,書籍!$A$2:$A$2000,0)),"（沒建檔）"))</f>
        <v>轉角夏天</v>
      </c>
      <c r="F326" s="9" t="str">
        <f aca="false">IF($A326="","",IFERROR(INDEX(會員!$B$2:$B$2000,MATCH($A326,會員!$A$2:$A$2000,0)),"（沒建檔）"))</f>
        <v>蔡宜庭</v>
      </c>
      <c r="G326" s="10" t="str">
        <f aca="false">IF($B326="","",IF($D326="","未還","已還"))</f>
        <v>已還</v>
      </c>
    </row>
    <row r="327" customFormat="false" ht="15" hidden="false" customHeight="false" outlineLevel="0" collapsed="false">
      <c r="A327" s="7" t="s">
        <v>58</v>
      </c>
      <c r="B327" s="7" t="s">
        <v>53</v>
      </c>
      <c r="C327" s="8" t="n">
        <v>45890</v>
      </c>
      <c r="D327" s="8" t="n">
        <v>45904</v>
      </c>
      <c r="E327" s="9" t="str">
        <f aca="false">IF($B327="","",IFERROR(INDEX(書籍!$B$2:$B$2000,MATCH($B327,書籍!$A$2:$A$2000,0)),"（沒建檔）"))</f>
        <v>看不見的鐘樓</v>
      </c>
      <c r="F327" s="9" t="str">
        <f aca="false">IF($A327="","",IFERROR(INDEX(會員!$B$2:$B$2000,MATCH($A327,會員!$A$2:$A$2000,0)),"（沒建檔）"))</f>
        <v>賴思妤</v>
      </c>
      <c r="G327" s="10" t="str">
        <f aca="false">IF($B327="","",IF($D327="","未還","已還"))</f>
        <v>已還</v>
      </c>
    </row>
    <row r="328" customFormat="false" ht="15" hidden="false" customHeight="false" outlineLevel="0" collapsed="false">
      <c r="A328" s="7" t="s">
        <v>66</v>
      </c>
      <c r="B328" s="7" t="s">
        <v>103</v>
      </c>
      <c r="C328" s="8" t="n">
        <v>45890</v>
      </c>
      <c r="D328" s="8" t="n">
        <v>45899</v>
      </c>
      <c r="E328" s="9" t="str">
        <f aca="false">IF($B328="","",IFERROR(INDEX(書籍!$B$2:$B$2000,MATCH($B328,書籍!$A$2:$A$2000,0)),"（沒建檔）"))</f>
        <v>藍色約定</v>
      </c>
      <c r="F328" s="9" t="str">
        <f aca="false">IF($A328="","",IFERROR(INDEX(會員!$B$2:$B$2000,MATCH($A328,會員!$A$2:$A$2000,0)),"（沒建檔）"))</f>
        <v>郭柏翰</v>
      </c>
      <c r="G328" s="10" t="str">
        <f aca="false">IF($B328="","",IF($D328="","未還","已還"))</f>
        <v>已還</v>
      </c>
    </row>
    <row r="329" customFormat="false" ht="15" hidden="false" customHeight="false" outlineLevel="0" collapsed="false">
      <c r="A329" s="7" t="s">
        <v>75</v>
      </c>
      <c r="B329" s="7" t="s">
        <v>88</v>
      </c>
      <c r="C329" s="8" t="n">
        <v>45890</v>
      </c>
      <c r="D329" s="8" t="n">
        <v>45903</v>
      </c>
      <c r="E329" s="9" t="str">
        <f aca="false">IF($B329="","",IFERROR(INDEX(書籍!$B$2:$B$2000,MATCH($B329,書籍!$A$2:$A$2000,0)),"（沒建檔）"))</f>
        <v>地下室鋼琴師</v>
      </c>
      <c r="F329" s="9" t="str">
        <f aca="false">IF($A329="","",IFERROR(INDEX(會員!$B$2:$B$2000,MATCH($A329,會員!$A$2:$A$2000,0)),"（沒建檔）"))</f>
        <v>黃芷萱</v>
      </c>
      <c r="G329" s="10" t="str">
        <f aca="false">IF($B329="","",IF($D329="","未還","已還"))</f>
        <v>已還</v>
      </c>
    </row>
    <row r="330" customFormat="false" ht="15" hidden="false" customHeight="false" outlineLevel="0" collapsed="false">
      <c r="A330" s="7" t="s">
        <v>161</v>
      </c>
      <c r="B330" s="7" t="s">
        <v>45</v>
      </c>
      <c r="C330" s="8" t="n">
        <v>45890</v>
      </c>
      <c r="D330" s="8" t="n">
        <v>45920</v>
      </c>
      <c r="E330" s="9" t="str">
        <f aca="false">IF($B330="","",IFERROR(INDEX(書籍!$B$2:$B$2000,MATCH($B330,書籍!$A$2:$A$2000,0)),"（沒建檔）"))</f>
        <v>深夜的島</v>
      </c>
      <c r="F330" s="9" t="str">
        <f aca="false">IF($A330="","",IFERROR(INDEX(會員!$B$2:$B$2000,MATCH($A330,會員!$A$2:$A$2000,0)),"（沒建檔）"))</f>
        <v>吳彥廷</v>
      </c>
      <c r="G330" s="10" t="str">
        <f aca="false">IF($B330="","",IF($D330="","未還","已還"))</f>
        <v>已還</v>
      </c>
    </row>
    <row r="331" customFormat="false" ht="15" hidden="false" customHeight="false" outlineLevel="0" collapsed="false">
      <c r="A331" s="7" t="s">
        <v>80</v>
      </c>
      <c r="B331" s="7" t="s">
        <v>140</v>
      </c>
      <c r="C331" s="8" t="n">
        <v>45890</v>
      </c>
      <c r="D331" s="8" t="n">
        <v>45897</v>
      </c>
      <c r="E331" s="9" t="str">
        <f aca="false">IF($B331="","",IFERROR(INDEX(書籍!$B$2:$B$2000,MATCH($B331,書籍!$A$2:$A$2000,0)),"（沒建檔）"))</f>
        <v>紙上的手記</v>
      </c>
      <c r="F331" s="9" t="str">
        <f aca="false">IF($A331="","",IFERROR(INDEX(會員!$B$2:$B$2000,MATCH($A331,會員!$A$2:$A$2000,0)),"（沒建檔）"))</f>
        <v>洪詠晴</v>
      </c>
      <c r="G331" s="10" t="str">
        <f aca="false">IF($B331="","",IF($D331="","未還","已還"))</f>
        <v>已還</v>
      </c>
    </row>
    <row r="332" customFormat="false" ht="15" hidden="false" customHeight="false" outlineLevel="0" collapsed="false">
      <c r="A332" s="7" t="s">
        <v>93</v>
      </c>
      <c r="B332" s="7" t="s">
        <v>155</v>
      </c>
      <c r="C332" s="8" t="n">
        <v>45890</v>
      </c>
      <c r="D332" s="8" t="n">
        <v>45913</v>
      </c>
      <c r="E332" s="9" t="str">
        <f aca="false">IF($B332="","",IFERROR(INDEX(書籍!$B$2:$B$2000,MATCH($B332,書籍!$A$2:$A$2000,0)),"（沒建檔）"))</f>
        <v>海邊的季節</v>
      </c>
      <c r="F332" s="9" t="str">
        <f aca="false">IF($A332="","",IFERROR(INDEX(會員!$B$2:$B$2000,MATCH($A332,會員!$A$2:$A$2000,0)),"（沒建檔）"))</f>
        <v>邱沐恩</v>
      </c>
      <c r="G332" s="10" t="str">
        <f aca="false">IF($B332="","",IF($D332="","未還","已還"))</f>
        <v>已還</v>
      </c>
    </row>
    <row r="333" customFormat="false" ht="15" hidden="false" customHeight="false" outlineLevel="0" collapsed="false">
      <c r="A333" s="7" t="s">
        <v>161</v>
      </c>
      <c r="B333" s="7" t="s">
        <v>81</v>
      </c>
      <c r="C333" s="8" t="n">
        <v>45892</v>
      </c>
      <c r="D333" s="8" t="n">
        <v>45901</v>
      </c>
      <c r="E333" s="9" t="str">
        <f aca="false">IF($B333="","",IFERROR(INDEX(書籍!$B$2:$B$2000,MATCH($B333,書籍!$A$2:$A$2000,0)),"（沒建檔）"))</f>
        <v>紙上的祕密</v>
      </c>
      <c r="F333" s="9" t="str">
        <f aca="false">IF($A333="","",IFERROR(INDEX(會員!$B$2:$B$2000,MATCH($A333,會員!$A$2:$A$2000,0)),"（沒建檔）"))</f>
        <v>吳彥廷</v>
      </c>
      <c r="G333" s="10" t="str">
        <f aca="false">IF($B333="","",IF($D333="","未還","已還"))</f>
        <v>已還</v>
      </c>
    </row>
    <row r="334" customFormat="false" ht="15" hidden="false" customHeight="false" outlineLevel="0" collapsed="false">
      <c r="A334" s="7" t="s">
        <v>30</v>
      </c>
      <c r="B334" s="7" t="s">
        <v>102</v>
      </c>
      <c r="C334" s="8" t="n">
        <v>45892</v>
      </c>
      <c r="D334" s="8" t="n">
        <v>45899</v>
      </c>
      <c r="E334" s="9" t="str">
        <f aca="false">IF($B334="","",IFERROR(INDEX(書籍!$B$2:$B$2000,MATCH($B334,書籍!$A$2:$A$2000,0)),"（沒建檔）"))</f>
        <v>最後一個偵探</v>
      </c>
      <c r="F334" s="9" t="str">
        <f aca="false">IF($A334="","",IFERROR(INDEX(會員!$B$2:$B$2000,MATCH($A334,會員!$A$2:$A$2000,0)),"（沒建檔）"))</f>
        <v>吳芃穎</v>
      </c>
      <c r="G334" s="10" t="str">
        <f aca="false">IF($B334="","",IF($D334="","未還","已還"))</f>
        <v>已還</v>
      </c>
    </row>
    <row r="335" customFormat="false" ht="15" hidden="false" customHeight="false" outlineLevel="0" collapsed="false">
      <c r="A335" s="7" t="s">
        <v>95</v>
      </c>
      <c r="B335" s="7" t="s">
        <v>27</v>
      </c>
      <c r="C335" s="8" t="n">
        <v>45893</v>
      </c>
      <c r="D335" s="8" t="n">
        <v>45921</v>
      </c>
      <c r="E335" s="9" t="str">
        <f aca="false">IF($B335="","",IFERROR(INDEX(書籍!$B$2:$B$2000,MATCH($B335,書籍!$A$2:$A$2000,0)),"（沒建檔）"))</f>
        <v>漫長的回信</v>
      </c>
      <c r="F335" s="9" t="str">
        <f aca="false">IF($A335="","",IFERROR(INDEX(會員!$B$2:$B$2000,MATCH($A335,會員!$A$2:$A$2000,0)),"（沒建檔）"))</f>
        <v>邱承翰</v>
      </c>
      <c r="G335" s="10" t="str">
        <f aca="false">IF($B335="","",IF($D335="","未還","已還"))</f>
        <v>已還</v>
      </c>
    </row>
    <row r="336" customFormat="false" ht="15" hidden="false" customHeight="false" outlineLevel="0" collapsed="false">
      <c r="A336" s="7" t="s">
        <v>66</v>
      </c>
      <c r="B336" s="7" t="s">
        <v>57</v>
      </c>
      <c r="C336" s="8" t="n">
        <v>45894</v>
      </c>
      <c r="D336" s="8" t="n">
        <v>45916</v>
      </c>
      <c r="E336" s="9" t="str">
        <f aca="false">IF($B336="","",IFERROR(INDEX(書籍!$B$2:$B$2000,MATCH($B336,書籍!$A$2:$A$2000,0)),"（沒建檔）"))</f>
        <v>沉默的森林</v>
      </c>
      <c r="F336" s="9" t="str">
        <f aca="false">IF($A336="","",IFERROR(INDEX(會員!$B$2:$B$2000,MATCH($A336,會員!$A$2:$A$2000,0)),"（沒建檔）"))</f>
        <v>郭柏翰</v>
      </c>
      <c r="G336" s="10" t="str">
        <f aca="false">IF($B336="","",IF($D336="","未還","已還"))</f>
        <v>已還</v>
      </c>
    </row>
    <row r="337" customFormat="false" ht="15" hidden="false" customHeight="false" outlineLevel="0" collapsed="false">
      <c r="A337" s="7" t="s">
        <v>77</v>
      </c>
      <c r="B337" s="7" t="s">
        <v>39</v>
      </c>
      <c r="C337" s="8" t="n">
        <v>45894</v>
      </c>
      <c r="D337" s="8" t="n">
        <v>45896</v>
      </c>
      <c r="E337" s="9" t="str">
        <f aca="false">IF($B337="","",IFERROR(INDEX(書籍!$B$2:$B$2000,MATCH($B337,書籍!$A$2:$A$2000,0)),"（沒建檔）"))</f>
        <v>看不見的花園</v>
      </c>
      <c r="F337" s="9" t="str">
        <f aca="false">IF($A337="","",IFERROR(INDEX(會員!$B$2:$B$2000,MATCH($A337,會員!$A$2:$A$2000,0)),"（沒建檔）"))</f>
        <v>吳柏翰</v>
      </c>
      <c r="G337" s="10" t="str">
        <f aca="false">IF($B337="","",IF($D337="","未還","已還"))</f>
        <v>已還</v>
      </c>
    </row>
    <row r="338" customFormat="false" ht="15" hidden="false" customHeight="false" outlineLevel="0" collapsed="false">
      <c r="A338" s="7" t="s">
        <v>97</v>
      </c>
      <c r="B338" s="7" t="s">
        <v>89</v>
      </c>
      <c r="C338" s="8" t="n">
        <v>45895</v>
      </c>
      <c r="D338" s="8" t="n">
        <v>45909</v>
      </c>
      <c r="E338" s="9" t="str">
        <f aca="false">IF($B338="","",IFERROR(INDEX(書籍!$B$2:$B$2000,MATCH($B338,書籍!$A$2:$A$2000,0)),"（沒建檔）"))</f>
        <v>漫長的季節</v>
      </c>
      <c r="F338" s="9" t="str">
        <f aca="false">IF($A338="","",IFERROR(INDEX(會員!$B$2:$B$2000,MATCH($A338,會員!$A$2:$A$2000,0)),"（沒建檔）"))</f>
        <v>廖品妍</v>
      </c>
      <c r="G338" s="10" t="str">
        <f aca="false">IF($B338="","",IF($D338="","未還","已還"))</f>
        <v>已還</v>
      </c>
    </row>
    <row r="339" customFormat="false" ht="15" hidden="false" customHeight="false" outlineLevel="0" collapsed="false">
      <c r="A339" s="7" t="s">
        <v>107</v>
      </c>
      <c r="B339" s="7" t="s">
        <v>118</v>
      </c>
      <c r="C339" s="8" t="n">
        <v>45896</v>
      </c>
      <c r="D339" s="8" t="n">
        <v>45923</v>
      </c>
      <c r="E339" s="9" t="str">
        <f aca="false">IF($B339="","",IFERROR(INDEX(書籍!$B$2:$B$2000,MATCH($B339,書籍!$A$2:$A$2000,0)),"（沒建檔）"))</f>
        <v>地下室貓</v>
      </c>
      <c r="F339" s="9" t="str">
        <f aca="false">IF($A339="","",IFERROR(INDEX(會員!$B$2:$B$2000,MATCH($A339,會員!$A$2:$A$2000,0)),"（沒建檔）"))</f>
        <v>陳祐誠</v>
      </c>
      <c r="G339" s="10" t="str">
        <f aca="false">IF($B339="","",IF($D339="","未還","已還"))</f>
        <v>已還</v>
      </c>
    </row>
    <row r="340" customFormat="false" ht="15" hidden="false" customHeight="false" outlineLevel="0" collapsed="false">
      <c r="A340" s="7" t="s">
        <v>49</v>
      </c>
      <c r="B340" s="7" t="s">
        <v>121</v>
      </c>
      <c r="C340" s="8" t="n">
        <v>45896</v>
      </c>
      <c r="D340" s="8" t="n">
        <v>45913</v>
      </c>
      <c r="E340" s="9" t="str">
        <f aca="false">IF($B340="","",IFERROR(INDEX(書籍!$B$2:$B$2000,MATCH($B340,書籍!$A$2:$A$2000,0)),"（沒建檔）"))</f>
        <v>轉角夏天</v>
      </c>
      <c r="F340" s="9" t="str">
        <f aca="false">IF($A340="","",IFERROR(INDEX(會員!$B$2:$B$2000,MATCH($A340,會員!$A$2:$A$2000,0)),"（沒建檔）"))</f>
        <v>張宜庭</v>
      </c>
      <c r="G340" s="10" t="str">
        <f aca="false">IF($B340="","",IF($D340="","未還","已還"))</f>
        <v>已還</v>
      </c>
    </row>
    <row r="341" customFormat="false" ht="15" hidden="false" customHeight="false" outlineLevel="0" collapsed="false">
      <c r="A341" s="7" t="s">
        <v>72</v>
      </c>
      <c r="B341" s="7" t="s">
        <v>94</v>
      </c>
      <c r="C341" s="8" t="n">
        <v>45897</v>
      </c>
      <c r="D341" s="8" t="n">
        <v>45898</v>
      </c>
      <c r="E341" s="9" t="str">
        <f aca="false">IF($B341="","",IFERROR(INDEX(書籍!$B$2:$B$2000,MATCH($B341,書籍!$A$2:$A$2000,0)),"（沒建檔）"))</f>
        <v>藍色咖啡館</v>
      </c>
      <c r="F341" s="9" t="str">
        <f aca="false">IF($A341="","",IFERROR(INDEX(會員!$B$2:$B$2000,MATCH($A341,會員!$A$2:$A$2000,0)),"（沒建檔）"))</f>
        <v>蔡季軒</v>
      </c>
      <c r="G341" s="10" t="str">
        <f aca="false">IF($B341="","",IF($D341="","未還","已還"))</f>
        <v>已還</v>
      </c>
    </row>
    <row r="342" customFormat="false" ht="15" hidden="false" customHeight="false" outlineLevel="0" collapsed="false">
      <c r="A342" s="7" t="s">
        <v>44</v>
      </c>
      <c r="B342" s="7" t="s">
        <v>71</v>
      </c>
      <c r="C342" s="8" t="n">
        <v>45897</v>
      </c>
      <c r="D342" s="8" t="n">
        <v>45904</v>
      </c>
      <c r="E342" s="9" t="str">
        <f aca="false">IF($B342="","",IFERROR(INDEX(書籍!$B$2:$B$2000,MATCH($B342,書籍!$A$2:$A$2000,0)),"（沒建檔）"))</f>
        <v>深夜的手記</v>
      </c>
      <c r="F342" s="9" t="str">
        <f aca="false">IF($A342="","",IFERROR(INDEX(會員!$B$2:$B$2000,MATCH($A342,會員!$A$2:$A$2000,0)),"（沒建檔）"))</f>
        <v>郭柏翰</v>
      </c>
      <c r="G342" s="10" t="str">
        <f aca="false">IF($B342="","",IF($D342="","未還","已還"))</f>
        <v>已還</v>
      </c>
    </row>
    <row r="343" customFormat="false" ht="15" hidden="false" customHeight="false" outlineLevel="0" collapsed="false">
      <c r="A343" s="7" t="s">
        <v>42</v>
      </c>
      <c r="B343" s="7" t="s">
        <v>126</v>
      </c>
      <c r="C343" s="8" t="n">
        <v>45897</v>
      </c>
      <c r="D343" s="8" t="n">
        <v>45919</v>
      </c>
      <c r="E343" s="9" t="str">
        <f aca="false">IF($B343="","",IFERROR(INDEX(書籍!$B$2:$B$2000,MATCH($B343,書籍!$A$2:$A$2000,0)),"（沒建檔）"))</f>
        <v>地下室列車</v>
      </c>
      <c r="F343" s="9" t="str">
        <f aca="false">IF($A343="","",IFERROR(INDEX(會員!$B$2:$B$2000,MATCH($A343,會員!$A$2:$A$2000,0)),"（沒建檔）"))</f>
        <v>蔡宜庭</v>
      </c>
      <c r="G343" s="10" t="str">
        <f aca="false">IF($B343="","",IF($D343="","未還","已還"))</f>
        <v>已還</v>
      </c>
    </row>
    <row r="344" customFormat="false" ht="15" hidden="false" customHeight="false" outlineLevel="0" collapsed="false">
      <c r="A344" s="7" t="s">
        <v>58</v>
      </c>
      <c r="B344" s="7" t="s">
        <v>117</v>
      </c>
      <c r="C344" s="8" t="n">
        <v>45898</v>
      </c>
      <c r="D344" s="8" t="n">
        <v>45912</v>
      </c>
      <c r="E344" s="9" t="str">
        <f aca="false">IF($B344="","",IFERROR(INDEX(書籍!$B$2:$B$2000,MATCH($B344,書籍!$A$2:$A$2000,0)),"（沒建檔）"))</f>
        <v>兩個人的偵探</v>
      </c>
      <c r="F344" s="9" t="str">
        <f aca="false">IF($A344="","",IFERROR(INDEX(會員!$B$2:$B$2000,MATCH($A344,會員!$A$2:$A$2000,0)),"（沒建檔）"))</f>
        <v>賴思妤</v>
      </c>
      <c r="G344" s="10" t="str">
        <f aca="false">IF($B344="","",IF($D344="","未還","已還"))</f>
        <v>已還</v>
      </c>
    </row>
    <row r="345" customFormat="false" ht="15" hidden="false" customHeight="false" outlineLevel="0" collapsed="false">
      <c r="A345" s="7" t="s">
        <v>30</v>
      </c>
      <c r="B345" s="7" t="s">
        <v>91</v>
      </c>
      <c r="C345" s="8" t="n">
        <v>45898</v>
      </c>
      <c r="D345" s="8" t="n">
        <v>45911</v>
      </c>
      <c r="E345" s="9" t="str">
        <f aca="false">IF($B345="","",IFERROR(INDEX(書籍!$B$2:$B$2000,MATCH($B345,書籍!$A$2:$A$2000,0)),"（沒建檔）"))</f>
        <v>最後一個偵探</v>
      </c>
      <c r="F345" s="9" t="str">
        <f aca="false">IF($A345="","",IFERROR(INDEX(會員!$B$2:$B$2000,MATCH($A345,會員!$A$2:$A$2000,0)),"（沒建檔）"))</f>
        <v>吳芃穎</v>
      </c>
      <c r="G345" s="10" t="str">
        <f aca="false">IF($B345="","",IF($D345="","未還","已還"))</f>
        <v>已還</v>
      </c>
    </row>
    <row r="346" customFormat="false" ht="15" hidden="false" customHeight="false" outlineLevel="0" collapsed="false">
      <c r="A346" s="7" t="s">
        <v>40</v>
      </c>
      <c r="B346" s="7" t="s">
        <v>106</v>
      </c>
      <c r="C346" s="8" t="n">
        <v>45902</v>
      </c>
      <c r="D346" s="8" t="n">
        <v>45904</v>
      </c>
      <c r="E346" s="9" t="str">
        <f aca="false">IF($B346="","",IFERROR(INDEX(書籍!$B$2:$B$2000,MATCH($B346,書籍!$A$2:$A$2000,0)),"（沒建檔）"))</f>
        <v>轉角鋼琴師</v>
      </c>
      <c r="F346" s="9" t="str">
        <f aca="false">IF($A346="","",IFERROR(INDEX(會員!$B$2:$B$2000,MATCH($A346,會員!$A$2:$A$2000,0)),"（沒建檔）"))</f>
        <v>賴佩珊</v>
      </c>
      <c r="G346" s="10" t="str">
        <f aca="false">IF($B346="","",IF($D346="","未還","已還"))</f>
        <v>已還</v>
      </c>
    </row>
    <row r="347" customFormat="false" ht="15" hidden="false" customHeight="false" outlineLevel="0" collapsed="false">
      <c r="A347" s="7" t="s">
        <v>113</v>
      </c>
      <c r="B347" s="7" t="s">
        <v>152</v>
      </c>
      <c r="C347" s="8" t="n">
        <v>45902</v>
      </c>
      <c r="D347" s="8" t="n">
        <v>45903</v>
      </c>
      <c r="E347" s="9" t="str">
        <f aca="false">IF($B347="","",IFERROR(INDEX(書籍!$B$2:$B$2000,MATCH($B347,書籍!$A$2:$A$2000,0)),"（沒建檔）"))</f>
        <v>看不見的鋼琴師</v>
      </c>
      <c r="F347" s="9" t="str">
        <f aca="false">IF($A347="","",IFERROR(INDEX(會員!$B$2:$B$2000,MATCH($A347,會員!$A$2:$A$2000,0)),"（沒建檔）"))</f>
        <v>謝子涵</v>
      </c>
      <c r="G347" s="10" t="str">
        <f aca="false">IF($B347="","",IF($D347="","未還","已還"))</f>
        <v>已還</v>
      </c>
    </row>
    <row r="348" customFormat="false" ht="15" hidden="false" customHeight="false" outlineLevel="0" collapsed="false">
      <c r="A348" s="7" t="s">
        <v>80</v>
      </c>
      <c r="B348" s="7" t="s">
        <v>105</v>
      </c>
      <c r="C348" s="8" t="n">
        <v>45902</v>
      </c>
      <c r="D348" s="8" t="n">
        <v>45921</v>
      </c>
      <c r="E348" s="9" t="str">
        <f aca="false">IF($B348="","",IFERROR(INDEX(書籍!$B$2:$B$2000,MATCH($B348,書籍!$A$2:$A$2000,0)),"（沒建檔）"))</f>
        <v>月球旅人</v>
      </c>
      <c r="F348" s="9" t="str">
        <f aca="false">IF($A348="","",IFERROR(INDEX(會員!$B$2:$B$2000,MATCH($A348,會員!$A$2:$A$2000,0)),"（沒建檔）"))</f>
        <v>洪詠晴</v>
      </c>
      <c r="G348" s="10" t="str">
        <f aca="false">IF($B348="","",IF($D348="","未還","已還"))</f>
        <v>已還</v>
      </c>
    </row>
    <row r="349" customFormat="false" ht="15" hidden="false" customHeight="false" outlineLevel="0" collapsed="false">
      <c r="A349" s="7" t="s">
        <v>160</v>
      </c>
      <c r="B349" s="7" t="s">
        <v>149</v>
      </c>
      <c r="C349" s="8" t="n">
        <v>45902</v>
      </c>
      <c r="D349" s="8" t="n">
        <v>45926</v>
      </c>
      <c r="E349" s="9" t="str">
        <f aca="false">IF($B349="","",IFERROR(INDEX(書籍!$B$2:$B$2000,MATCH($B349,書籍!$A$2:$A$2000,0)),"（沒建檔）"))</f>
        <v>會說話的貓</v>
      </c>
      <c r="F349" s="9" t="str">
        <f aca="false">IF($A349="","",IFERROR(INDEX(會員!$B$2:$B$2000,MATCH($A349,會員!$A$2:$A$2000,0)),"（沒建檔）"))</f>
        <v>張季軒</v>
      </c>
      <c r="G349" s="10" t="str">
        <f aca="false">IF($B349="","",IF($D349="","未還","已還"))</f>
        <v>已還</v>
      </c>
    </row>
    <row r="350" customFormat="false" ht="15" hidden="false" customHeight="false" outlineLevel="0" collapsed="false">
      <c r="A350" s="7" t="s">
        <v>34</v>
      </c>
      <c r="B350" s="7" t="s">
        <v>25</v>
      </c>
      <c r="C350" s="8" t="n">
        <v>45904</v>
      </c>
      <c r="D350" s="8" t="n">
        <v>45912</v>
      </c>
      <c r="E350" s="9" t="str">
        <f aca="false">IF($B350="","",IFERROR(INDEX(書籍!$B$2:$B$2000,MATCH($B350,書籍!$A$2:$A$2000,0)),"（沒建檔）"))</f>
        <v>看不見的咖啡館</v>
      </c>
      <c r="F350" s="9" t="str">
        <f aca="false">IF($A350="","",IFERROR(INDEX(會員!$B$2:$B$2000,MATCH($A350,會員!$A$2:$A$2000,0)),"（沒建檔）"))</f>
        <v>蔡彥廷</v>
      </c>
      <c r="G350" s="10" t="str">
        <f aca="false">IF($B350="","",IF($D350="","未還","已還"))</f>
        <v>已還</v>
      </c>
    </row>
    <row r="351" customFormat="false" ht="15" hidden="false" customHeight="false" outlineLevel="0" collapsed="false">
      <c r="A351" s="7" t="s">
        <v>154</v>
      </c>
      <c r="B351" s="7" t="s">
        <v>108</v>
      </c>
      <c r="C351" s="8" t="n">
        <v>45905</v>
      </c>
      <c r="D351" s="8" t="n">
        <v>45931</v>
      </c>
      <c r="E351" s="9" t="str">
        <f aca="false">IF($B351="","",IFERROR(INDEX(書籍!$B$2:$B$2000,MATCH($B351,書籍!$A$2:$A$2000,0)),"（沒建檔）"))</f>
        <v>兩個人的森林</v>
      </c>
      <c r="F351" s="9" t="str">
        <f aca="false">IF($A351="","",IFERROR(INDEX(會員!$B$2:$B$2000,MATCH($A351,會員!$A$2:$A$2000,0)),"（沒建檔）"))</f>
        <v>陳雅婷</v>
      </c>
      <c r="G351" s="10" t="str">
        <f aca="false">IF($B351="","",IF($D351="","未還","已還"))</f>
        <v>已還</v>
      </c>
    </row>
    <row r="352" customFormat="false" ht="15" hidden="false" customHeight="false" outlineLevel="0" collapsed="false">
      <c r="A352" s="7" t="s">
        <v>37</v>
      </c>
      <c r="B352" s="7" t="s">
        <v>142</v>
      </c>
      <c r="C352" s="8" t="n">
        <v>45907</v>
      </c>
      <c r="D352" s="8" t="n">
        <v>45909</v>
      </c>
      <c r="E352" s="9" t="str">
        <f aca="false">IF($B352="","",IFERROR(INDEX(書籍!$B$2:$B$2000,MATCH($B352,書籍!$A$2:$A$2000,0)),"（沒建檔）"))</f>
        <v>深夜的河</v>
      </c>
      <c r="F352" s="9" t="str">
        <f aca="false">IF($A352="","",IFERROR(INDEX(會員!$B$2:$B$2000,MATCH($A352,會員!$A$2:$A$2000,0)),"（沒建檔）"))</f>
        <v>郭芷萱</v>
      </c>
      <c r="G352" s="10" t="str">
        <f aca="false">IF($B352="","",IF($D352="","未還","已還"))</f>
        <v>已還</v>
      </c>
    </row>
    <row r="353" customFormat="false" ht="15" hidden="false" customHeight="false" outlineLevel="0" collapsed="false">
      <c r="A353" s="7" t="s">
        <v>77</v>
      </c>
      <c r="B353" s="7" t="s">
        <v>35</v>
      </c>
      <c r="C353" s="8" t="n">
        <v>45908</v>
      </c>
      <c r="D353" s="8" t="n">
        <v>45938</v>
      </c>
      <c r="E353" s="9" t="str">
        <f aca="false">IF($B353="","",IFERROR(INDEX(書籍!$B$2:$B$2000,MATCH($B353,書籍!$A$2:$A$2000,0)),"（沒建檔）"))</f>
        <v>半路上的祕密</v>
      </c>
      <c r="F353" s="9" t="str">
        <f aca="false">IF($A353="","",IFERROR(INDEX(會員!$B$2:$B$2000,MATCH($A353,會員!$A$2:$A$2000,0)),"（沒建檔）"))</f>
        <v>吳柏翰</v>
      </c>
      <c r="G353" s="10" t="str">
        <f aca="false">IF($B353="","",IF($D353="","未還","已還"))</f>
        <v>已還</v>
      </c>
    </row>
    <row r="354" customFormat="false" ht="15" hidden="false" customHeight="false" outlineLevel="0" collapsed="false">
      <c r="A354" s="7" t="s">
        <v>44</v>
      </c>
      <c r="B354" s="7" t="s">
        <v>62</v>
      </c>
      <c r="C354" s="8" t="n">
        <v>45910</v>
      </c>
      <c r="D354" s="8" t="n">
        <v>45926</v>
      </c>
      <c r="E354" s="9" t="str">
        <f aca="false">IF($B354="","",IFERROR(INDEX(書籍!$B$2:$B$2000,MATCH($B354,書籍!$A$2:$A$2000,0)),"（沒建檔）"))</f>
        <v>海邊的貓</v>
      </c>
      <c r="F354" s="9" t="str">
        <f aca="false">IF($A354="","",IFERROR(INDEX(會員!$B$2:$B$2000,MATCH($A354,會員!$A$2:$A$2000,0)),"（沒建檔）"))</f>
        <v>郭柏翰</v>
      </c>
      <c r="G354" s="10" t="str">
        <f aca="false">IF($B354="","",IF($D354="","未還","已還"))</f>
        <v>已還</v>
      </c>
    </row>
    <row r="355" customFormat="false" ht="15" hidden="false" customHeight="false" outlineLevel="0" collapsed="false">
      <c r="A355" s="7" t="s">
        <v>95</v>
      </c>
      <c r="B355" s="7" t="s">
        <v>73</v>
      </c>
      <c r="C355" s="8" t="n">
        <v>45911</v>
      </c>
      <c r="D355" s="8" t="n">
        <v>45921</v>
      </c>
      <c r="E355" s="9" t="str">
        <f aca="false">IF($B355="","",IFERROR(INDEX(書籍!$B$2:$B$2000,MATCH($B355,書籍!$A$2:$A$2000,0)),"（沒建檔）"))</f>
        <v>海邊的森林</v>
      </c>
      <c r="F355" s="9" t="str">
        <f aca="false">IF($A355="","",IFERROR(INDEX(會員!$B$2:$B$2000,MATCH($A355,會員!$A$2:$A$2000,0)),"（沒建檔）"))</f>
        <v>邱承翰</v>
      </c>
      <c r="G355" s="10" t="str">
        <f aca="false">IF($B355="","",IF($D355="","未還","已還"))</f>
        <v>已還</v>
      </c>
    </row>
    <row r="356" customFormat="false" ht="15" hidden="false" customHeight="false" outlineLevel="0" collapsed="false">
      <c r="A356" s="7" t="s">
        <v>44</v>
      </c>
      <c r="B356" s="7" t="s">
        <v>112</v>
      </c>
      <c r="C356" s="8" t="n">
        <v>45912</v>
      </c>
      <c r="D356" s="8" t="n">
        <v>45941</v>
      </c>
      <c r="E356" s="9" t="str">
        <f aca="false">IF($B356="","",IFERROR(INDEX(書籍!$B$2:$B$2000,MATCH($B356,書籍!$A$2:$A$2000,0)),"（沒建檔）"))</f>
        <v>圖書館地圖</v>
      </c>
      <c r="F356" s="9" t="str">
        <f aca="false">IF($A356="","",IFERROR(INDEX(會員!$B$2:$B$2000,MATCH($A356,會員!$A$2:$A$2000,0)),"（沒建檔）"))</f>
        <v>郭柏翰</v>
      </c>
      <c r="G356" s="10" t="str">
        <f aca="false">IF($B356="","",IF($D356="","未還","已還"))</f>
        <v>已還</v>
      </c>
    </row>
    <row r="357" customFormat="false" ht="15" hidden="false" customHeight="false" outlineLevel="0" collapsed="false">
      <c r="A357" s="7" t="s">
        <v>34</v>
      </c>
      <c r="B357" s="7" t="s">
        <v>157</v>
      </c>
      <c r="C357" s="8" t="n">
        <v>45913</v>
      </c>
      <c r="D357" s="8" t="n">
        <v>45914</v>
      </c>
      <c r="E357" s="9" t="str">
        <f aca="false">IF($B357="","",IFERROR(INDEX(書籍!$B$2:$B$2000,MATCH($B357,書籍!$A$2:$A$2000,0)),"（沒建檔）"))</f>
        <v>藍色季節</v>
      </c>
      <c r="F357" s="9" t="str">
        <f aca="false">IF($A357="","",IFERROR(INDEX(會員!$B$2:$B$2000,MATCH($A357,會員!$A$2:$A$2000,0)),"（沒建檔）"))</f>
        <v>蔡彥廷</v>
      </c>
      <c r="G357" s="10" t="str">
        <f aca="false">IF($B357="","",IF($D357="","未還","已還"))</f>
        <v>已還</v>
      </c>
    </row>
    <row r="358" customFormat="false" ht="15" hidden="false" customHeight="false" outlineLevel="0" collapsed="false">
      <c r="A358" s="7" t="s">
        <v>116</v>
      </c>
      <c r="B358" s="7" t="s">
        <v>39</v>
      </c>
      <c r="C358" s="8" t="n">
        <v>45913</v>
      </c>
      <c r="D358" s="8" t="n">
        <v>45931</v>
      </c>
      <c r="E358" s="9" t="str">
        <f aca="false">IF($B358="","",IFERROR(INDEX(書籍!$B$2:$B$2000,MATCH($B358,書籍!$A$2:$A$2000,0)),"（沒建檔）"))</f>
        <v>看不見的花園</v>
      </c>
      <c r="F358" s="9" t="str">
        <f aca="false">IF($A358="","",IFERROR(INDEX(會員!$B$2:$B$2000,MATCH($A358,會員!$A$2:$A$2000,0)),"（沒建檔）"))</f>
        <v>郭詠晴</v>
      </c>
      <c r="G358" s="10" t="str">
        <f aca="false">IF($B358="","",IF($D358="","未還","已還"))</f>
        <v>已還</v>
      </c>
    </row>
    <row r="359" customFormat="false" ht="15" hidden="false" customHeight="false" outlineLevel="0" collapsed="false">
      <c r="A359" s="7" t="s">
        <v>51</v>
      </c>
      <c r="B359" s="7" t="s">
        <v>65</v>
      </c>
      <c r="C359" s="8" t="n">
        <v>45914</v>
      </c>
      <c r="D359" s="8" t="n">
        <v>45934</v>
      </c>
      <c r="E359" s="9" t="str">
        <f aca="false">IF($B359="","",IFERROR(INDEX(書籍!$B$2:$B$2000,MATCH($B359,書籍!$A$2:$A$2000,0)),"（沒建檔）"))</f>
        <v>深夜的季節</v>
      </c>
      <c r="F359" s="9" t="str">
        <f aca="false">IF($A359="","",IFERROR(INDEX(會員!$B$2:$B$2000,MATCH($A359,會員!$A$2:$A$2000,0)),"（沒建檔）"))</f>
        <v>林子涵</v>
      </c>
      <c r="G359" s="10" t="str">
        <f aca="false">IF($B359="","",IF($D359="","未還","已還"))</f>
        <v>已還</v>
      </c>
    </row>
    <row r="360" customFormat="false" ht="15" hidden="false" customHeight="false" outlineLevel="0" collapsed="false">
      <c r="A360" s="7" t="s">
        <v>42</v>
      </c>
      <c r="B360" s="7" t="s">
        <v>145</v>
      </c>
      <c r="C360" s="8" t="n">
        <v>45914</v>
      </c>
      <c r="D360" s="8" t="n">
        <v>45942</v>
      </c>
      <c r="E360" s="9" t="str">
        <f aca="false">IF($B360="","",IFERROR(INDEX(書籍!$B$2:$B$2000,MATCH($B360,書籍!$A$2:$A$2000,0)),"（沒建檔）"))</f>
        <v>地下室地圖</v>
      </c>
      <c r="F360" s="9" t="str">
        <f aca="false">IF($A360="","",IFERROR(INDEX(會員!$B$2:$B$2000,MATCH($A360,會員!$A$2:$A$2000,0)),"（沒建檔）"))</f>
        <v>蔡宜庭</v>
      </c>
      <c r="G360" s="10" t="str">
        <f aca="false">IF($B360="","",IF($D360="","未還","已還"))</f>
        <v>已還</v>
      </c>
    </row>
    <row r="361" customFormat="false" ht="15" hidden="false" customHeight="false" outlineLevel="0" collapsed="false">
      <c r="A361" s="7" t="s">
        <v>161</v>
      </c>
      <c r="B361" s="7" t="s">
        <v>153</v>
      </c>
      <c r="C361" s="8" t="n">
        <v>45915</v>
      </c>
      <c r="D361" s="8" t="n">
        <v>45942</v>
      </c>
      <c r="E361" s="9" t="str">
        <f aca="false">IF($B361="","",IFERROR(INDEX(書籍!$B$2:$B$2000,MATCH($B361,書籍!$A$2:$A$2000,0)),"（沒建檔）"))</f>
        <v>地下室夏天</v>
      </c>
      <c r="F361" s="9" t="str">
        <f aca="false">IF($A361="","",IFERROR(INDEX(會員!$B$2:$B$2000,MATCH($A361,會員!$A$2:$A$2000,0)),"（沒建檔）"))</f>
        <v>吳彥廷</v>
      </c>
      <c r="G361" s="10" t="str">
        <f aca="false">IF($B361="","",IF($D361="","未還","已還"))</f>
        <v>已還</v>
      </c>
    </row>
    <row r="362" customFormat="false" ht="15" hidden="false" customHeight="false" outlineLevel="0" collapsed="false">
      <c r="A362" s="7" t="s">
        <v>72</v>
      </c>
      <c r="B362" s="7" t="s">
        <v>90</v>
      </c>
      <c r="C362" s="8" t="n">
        <v>45915</v>
      </c>
      <c r="D362" s="8" t="n">
        <v>45945</v>
      </c>
      <c r="E362" s="9" t="str">
        <f aca="false">IF($B362="","",IFERROR(INDEX(書籍!$B$2:$B$2000,MATCH($B362,書籍!$A$2:$A$2000,0)),"（沒建檔）"))</f>
        <v>漫長的書店</v>
      </c>
      <c r="F362" s="9" t="str">
        <f aca="false">IF($A362="","",IFERROR(INDEX(會員!$B$2:$B$2000,MATCH($A362,會員!$A$2:$A$2000,0)),"（沒建檔）"))</f>
        <v>蔡季軒</v>
      </c>
      <c r="G362" s="10" t="str">
        <f aca="false">IF($B362="","",IF($D362="","未還","已還"))</f>
        <v>已還</v>
      </c>
    </row>
    <row r="363" customFormat="false" ht="15" hidden="false" customHeight="false" outlineLevel="0" collapsed="false">
      <c r="A363" s="7" t="s">
        <v>44</v>
      </c>
      <c r="B363" s="7" t="s">
        <v>155</v>
      </c>
      <c r="C363" s="8" t="n">
        <v>45915</v>
      </c>
      <c r="D363" s="8" t="n">
        <v>45917</v>
      </c>
      <c r="E363" s="9" t="str">
        <f aca="false">IF($B363="","",IFERROR(INDEX(書籍!$B$2:$B$2000,MATCH($B363,書籍!$A$2:$A$2000,0)),"（沒建檔）"))</f>
        <v>海邊的季節</v>
      </c>
      <c r="F363" s="9" t="str">
        <f aca="false">IF($A363="","",IFERROR(INDEX(會員!$B$2:$B$2000,MATCH($A363,會員!$A$2:$A$2000,0)),"（沒建檔）"))</f>
        <v>郭柏翰</v>
      </c>
      <c r="G363" s="10" t="str">
        <f aca="false">IF($B363="","",IF($D363="","未還","已還"))</f>
        <v>已還</v>
      </c>
    </row>
    <row r="364" customFormat="false" ht="15" hidden="false" customHeight="false" outlineLevel="0" collapsed="false">
      <c r="A364" s="7" t="s">
        <v>113</v>
      </c>
      <c r="B364" s="7" t="s">
        <v>74</v>
      </c>
      <c r="C364" s="8" t="n">
        <v>45918</v>
      </c>
      <c r="D364" s="8" t="n">
        <v>45943</v>
      </c>
      <c r="E364" s="9" t="str">
        <f aca="false">IF($B364="","",IFERROR(INDEX(書籍!$B$2:$B$2000,MATCH($B364,書籍!$A$2:$A$2000,0)),"（沒建檔）"))</f>
        <v>月球書店</v>
      </c>
      <c r="F364" s="9" t="str">
        <f aca="false">IF($A364="","",IFERROR(INDEX(會員!$B$2:$B$2000,MATCH($A364,會員!$A$2:$A$2000,0)),"（沒建檔）"))</f>
        <v>謝子涵</v>
      </c>
      <c r="G364" s="10" t="str">
        <f aca="false">IF($B364="","",IF($D364="","未還","已還"))</f>
        <v>已還</v>
      </c>
    </row>
    <row r="365" customFormat="false" ht="15" hidden="false" customHeight="false" outlineLevel="0" collapsed="false">
      <c r="A365" s="7" t="s">
        <v>130</v>
      </c>
      <c r="B365" s="7" t="s">
        <v>142</v>
      </c>
      <c r="C365" s="8" t="n">
        <v>45918</v>
      </c>
      <c r="D365" s="8" t="n">
        <v>45926</v>
      </c>
      <c r="E365" s="9" t="str">
        <f aca="false">IF($B365="","",IFERROR(INDEX(書籍!$B$2:$B$2000,MATCH($B365,書籍!$A$2:$A$2000,0)),"（沒建檔）"))</f>
        <v>深夜的河</v>
      </c>
      <c r="F365" s="9" t="str">
        <f aca="false">IF($A365="","",IFERROR(INDEX(會員!$B$2:$B$2000,MATCH($A365,會員!$A$2:$A$2000,0)),"（沒建檔）"))</f>
        <v>林子涵</v>
      </c>
      <c r="G365" s="10" t="str">
        <f aca="false">IF($B365="","",IF($D365="","未還","已還"))</f>
        <v>已還</v>
      </c>
    </row>
    <row r="366" customFormat="false" ht="15" hidden="false" customHeight="false" outlineLevel="0" collapsed="false">
      <c r="A366" s="7" t="s">
        <v>42</v>
      </c>
      <c r="B366" s="7" t="s">
        <v>89</v>
      </c>
      <c r="C366" s="8" t="n">
        <v>45919</v>
      </c>
      <c r="D366" s="8" t="n">
        <v>45933</v>
      </c>
      <c r="E366" s="9" t="str">
        <f aca="false">IF($B366="","",IFERROR(INDEX(書籍!$B$2:$B$2000,MATCH($B366,書籍!$A$2:$A$2000,0)),"（沒建檔）"))</f>
        <v>漫長的季節</v>
      </c>
      <c r="F366" s="9" t="str">
        <f aca="false">IF($A366="","",IFERROR(INDEX(會員!$B$2:$B$2000,MATCH($A366,會員!$A$2:$A$2000,0)),"（沒建檔）"))</f>
        <v>蔡宜庭</v>
      </c>
      <c r="G366" s="10" t="str">
        <f aca="false">IF($B366="","",IF($D366="","未還","已還"))</f>
        <v>已還</v>
      </c>
    </row>
    <row r="367" customFormat="false" ht="15" hidden="false" customHeight="false" outlineLevel="0" collapsed="false">
      <c r="A367" s="7" t="s">
        <v>113</v>
      </c>
      <c r="B367" s="7" t="s">
        <v>111</v>
      </c>
      <c r="C367" s="8" t="n">
        <v>45920</v>
      </c>
      <c r="D367" s="8" t="n">
        <v>45943</v>
      </c>
      <c r="E367" s="9" t="str">
        <f aca="false">IF($B367="","",IFERROR(INDEX(書籍!$B$2:$B$2000,MATCH($B367,書籍!$A$2:$A$2000,0)),"（沒建檔）"))</f>
        <v>雨中燈塔</v>
      </c>
      <c r="F367" s="9" t="str">
        <f aca="false">IF($A367="","",IFERROR(INDEX(會員!$B$2:$B$2000,MATCH($A367,會員!$A$2:$A$2000,0)),"（沒建檔）"))</f>
        <v>謝子涵</v>
      </c>
      <c r="G367" s="10" t="str">
        <f aca="false">IF($B367="","",IF($D367="","未還","已還"))</f>
        <v>已還</v>
      </c>
    </row>
    <row r="368" customFormat="false" ht="15" hidden="false" customHeight="false" outlineLevel="0" collapsed="false">
      <c r="A368" s="7" t="s">
        <v>95</v>
      </c>
      <c r="B368" s="7" t="s">
        <v>127</v>
      </c>
      <c r="C368" s="8" t="n">
        <v>45920</v>
      </c>
      <c r="D368" s="8" t="n">
        <v>45935</v>
      </c>
      <c r="E368" s="9" t="str">
        <f aca="false">IF($B368="","",IFERROR(INDEX(書籍!$B$2:$B$2000,MATCH($B368,書籍!$A$2:$A$2000,0)),"（沒建檔）"))</f>
        <v>第七號鐘樓</v>
      </c>
      <c r="F368" s="9" t="str">
        <f aca="false">IF($A368="","",IFERROR(INDEX(會員!$B$2:$B$2000,MATCH($A368,會員!$A$2:$A$2000,0)),"（沒建檔）"))</f>
        <v>邱承翰</v>
      </c>
      <c r="G368" s="10" t="str">
        <f aca="false">IF($B368="","",IF($D368="","未還","已還"))</f>
        <v>已還</v>
      </c>
    </row>
    <row r="369" customFormat="false" ht="15" hidden="false" customHeight="false" outlineLevel="0" collapsed="false">
      <c r="A369" s="7" t="s">
        <v>26</v>
      </c>
      <c r="B369" s="7" t="s">
        <v>38</v>
      </c>
      <c r="C369" s="8" t="n">
        <v>45922</v>
      </c>
      <c r="D369" s="8" t="n">
        <v>45936</v>
      </c>
      <c r="E369" s="9" t="str">
        <f aca="false">IF($B369="","",IFERROR(INDEX(書籍!$B$2:$B$2000,MATCH($B369,書籍!$A$2:$A$2000,0)),"（沒建檔）"))</f>
        <v>小鎮森林</v>
      </c>
      <c r="F369" s="9" t="str">
        <f aca="false">IF($A369="","",IFERROR(INDEX(會員!$B$2:$B$2000,MATCH($A369,會員!$A$2:$A$2000,0)),"（沒建檔）"))</f>
        <v>曾淑芬</v>
      </c>
      <c r="G369" s="10" t="str">
        <f aca="false">IF($B369="","",IF($D369="","未還","已還"))</f>
        <v>已還</v>
      </c>
    </row>
    <row r="370" customFormat="false" ht="15" hidden="false" customHeight="false" outlineLevel="0" collapsed="false">
      <c r="A370" s="7" t="s">
        <v>97</v>
      </c>
      <c r="B370" s="7" t="s">
        <v>47</v>
      </c>
      <c r="C370" s="8" t="n">
        <v>45923</v>
      </c>
      <c r="D370" s="8" t="n">
        <v>45949</v>
      </c>
      <c r="E370" s="9" t="str">
        <f aca="false">IF($B370="","",IFERROR(INDEX(書籍!$B$2:$B$2000,MATCH($B370,書籍!$A$2:$A$2000,0)),"（沒建檔）"))</f>
        <v>最後一個花園</v>
      </c>
      <c r="F370" s="9" t="str">
        <f aca="false">IF($A370="","",IFERROR(INDEX(會員!$B$2:$B$2000,MATCH($A370,會員!$A$2:$A$2000,0)),"（沒建檔）"))</f>
        <v>廖品妍</v>
      </c>
      <c r="G370" s="10" t="str">
        <f aca="false">IF($B370="","",IF($D370="","未還","已還"))</f>
        <v>已還</v>
      </c>
    </row>
    <row r="371" customFormat="false" ht="15" hidden="false" customHeight="false" outlineLevel="0" collapsed="false">
      <c r="A371" s="7" t="s">
        <v>107</v>
      </c>
      <c r="B371" s="7" t="s">
        <v>137</v>
      </c>
      <c r="C371" s="8" t="n">
        <v>45923</v>
      </c>
      <c r="D371" s="8" t="n">
        <v>45953</v>
      </c>
      <c r="E371" s="9" t="str">
        <f aca="false">IF($B371="","",IFERROR(INDEX(書籍!$B$2:$B$2000,MATCH($B371,書籍!$A$2:$A$2000,0)),"（沒建檔）"))</f>
        <v>半路上的回信</v>
      </c>
      <c r="F371" s="9" t="str">
        <f aca="false">IF($A371="","",IFERROR(INDEX(會員!$B$2:$B$2000,MATCH($A371,會員!$A$2:$A$2000,0)),"（沒建檔）"))</f>
        <v>陳祐誠</v>
      </c>
      <c r="G371" s="10" t="str">
        <f aca="false">IF($B371="","",IF($D371="","未還","已還"))</f>
        <v>已還</v>
      </c>
    </row>
    <row r="372" customFormat="false" ht="15" hidden="false" customHeight="false" outlineLevel="0" collapsed="false">
      <c r="A372" s="7" t="s">
        <v>107</v>
      </c>
      <c r="B372" s="7" t="s">
        <v>131</v>
      </c>
      <c r="C372" s="8" t="n">
        <v>45923</v>
      </c>
      <c r="D372" s="8" t="n">
        <v>45936</v>
      </c>
      <c r="E372" s="9" t="str">
        <f aca="false">IF($B372="","",IFERROR(INDEX(書籍!$B$2:$B$2000,MATCH($B372,書籍!$A$2:$A$2000,0)),"（沒建檔）"))</f>
        <v>遠方的花園</v>
      </c>
      <c r="F372" s="9" t="str">
        <f aca="false">IF($A372="","",IFERROR(INDEX(會員!$B$2:$B$2000,MATCH($A372,會員!$A$2:$A$2000,0)),"（沒建檔）"))</f>
        <v>陳祐誠</v>
      </c>
      <c r="G372" s="10" t="str">
        <f aca="false">IF($B372="","",IF($D372="","未還","已還"))</f>
        <v>已還</v>
      </c>
    </row>
    <row r="373" customFormat="false" ht="15" hidden="false" customHeight="false" outlineLevel="0" collapsed="false">
      <c r="A373" s="7" t="s">
        <v>54</v>
      </c>
      <c r="B373" s="7" t="s">
        <v>48</v>
      </c>
      <c r="C373" s="8" t="n">
        <v>45923</v>
      </c>
      <c r="D373" s="8" t="n">
        <v>45945</v>
      </c>
      <c r="E373" s="9" t="str">
        <f aca="false">IF($B373="","",IFERROR(INDEX(書籍!$B$2:$B$2000,MATCH($B373,書籍!$A$2:$A$2000,0)),"（沒建檔）"))</f>
        <v>月球燈塔</v>
      </c>
      <c r="F373" s="9" t="str">
        <f aca="false">IF($A373="","",IFERROR(INDEX(會員!$B$2:$B$2000,MATCH($A373,會員!$A$2:$A$2000,0)),"（沒建檔）"))</f>
        <v>洪季軒</v>
      </c>
      <c r="G373" s="10" t="str">
        <f aca="false">IF($B373="","",IF($D373="","未還","已還"))</f>
        <v>已還</v>
      </c>
    </row>
    <row r="374" customFormat="false" ht="15" hidden="false" customHeight="false" outlineLevel="0" collapsed="false">
      <c r="A374" s="7" t="s">
        <v>54</v>
      </c>
      <c r="B374" s="7" t="s">
        <v>144</v>
      </c>
      <c r="C374" s="8" t="n">
        <v>45928</v>
      </c>
      <c r="D374" s="8" t="n">
        <v>45939</v>
      </c>
      <c r="E374" s="9" t="str">
        <f aca="false">IF($B374="","",IFERROR(INDEX(書籍!$B$2:$B$2000,MATCH($B374,書籍!$A$2:$A$2000,0)),"（沒建檔）"))</f>
        <v>小鎮偵探</v>
      </c>
      <c r="F374" s="9" t="str">
        <f aca="false">IF($A374="","",IFERROR(INDEX(會員!$B$2:$B$2000,MATCH($A374,會員!$A$2:$A$2000,0)),"（沒建檔）"))</f>
        <v>洪季軒</v>
      </c>
      <c r="G374" s="10" t="str">
        <f aca="false">IF($B374="","",IF($D374="","未還","已還"))</f>
        <v>已還</v>
      </c>
    </row>
    <row r="375" customFormat="false" ht="15" hidden="false" customHeight="false" outlineLevel="0" collapsed="false">
      <c r="A375" s="7" t="s">
        <v>34</v>
      </c>
      <c r="B375" s="7" t="s">
        <v>84</v>
      </c>
      <c r="C375" s="8" t="n">
        <v>45929</v>
      </c>
      <c r="D375" s="8" t="n">
        <v>45940</v>
      </c>
      <c r="E375" s="9" t="str">
        <f aca="false">IF($B375="","",IFERROR(INDEX(書籍!$B$2:$B$2000,MATCH($B375,書籍!$A$2:$A$2000,0)),"（沒建檔）"))</f>
        <v>微小的郵差</v>
      </c>
      <c r="F375" s="9" t="str">
        <f aca="false">IF($A375="","",IFERROR(INDEX(會員!$B$2:$B$2000,MATCH($A375,會員!$A$2:$A$2000,0)),"（沒建檔）"))</f>
        <v>蔡彥廷</v>
      </c>
      <c r="G375" s="10" t="str">
        <f aca="false">IF($B375="","",IF($D375="","未還","已還"))</f>
        <v>已還</v>
      </c>
    </row>
    <row r="376" customFormat="false" ht="15" hidden="false" customHeight="false" outlineLevel="0" collapsed="false">
      <c r="A376" s="7" t="s">
        <v>68</v>
      </c>
      <c r="B376" s="7" t="s">
        <v>135</v>
      </c>
      <c r="C376" s="8" t="n">
        <v>45929</v>
      </c>
      <c r="D376" s="8" t="n">
        <v>45937</v>
      </c>
      <c r="E376" s="9" t="str">
        <f aca="false">IF($B376="","",IFERROR(INDEX(書籍!$B$2:$B$2000,MATCH($B376,書籍!$A$2:$A$2000,0)),"（沒建檔）"))</f>
        <v>最後一個森林</v>
      </c>
      <c r="F376" s="9" t="str">
        <f aca="false">IF($A376="","",IFERROR(INDEX(會員!$B$2:$B$2000,MATCH($A376,會員!$A$2:$A$2000,0)),"（沒建檔）"))</f>
        <v>賴建宏</v>
      </c>
      <c r="G376" s="10" t="str">
        <f aca="false">IF($B376="","",IF($D376="","未還","已還"))</f>
        <v>已還</v>
      </c>
    </row>
    <row r="377" customFormat="false" ht="15" hidden="false" customHeight="false" outlineLevel="0" collapsed="false">
      <c r="A377" s="7" t="s">
        <v>130</v>
      </c>
      <c r="B377" s="7" t="s">
        <v>104</v>
      </c>
      <c r="C377" s="8" t="n">
        <v>45930</v>
      </c>
      <c r="D377" s="8" t="n">
        <v>45942</v>
      </c>
      <c r="E377" s="9" t="str">
        <f aca="false">IF($B377="","",IFERROR(INDEX(書籍!$B$2:$B$2000,MATCH($B377,書籍!$A$2:$A$2000,0)),"（沒建檔）"))</f>
        <v>藍色郵差</v>
      </c>
      <c r="F377" s="9" t="str">
        <f aca="false">IF($A377="","",IFERROR(INDEX(會員!$B$2:$B$2000,MATCH($A377,會員!$A$2:$A$2000,0)),"（沒建檔）"))</f>
        <v>林子涵</v>
      </c>
      <c r="G377" s="10" t="str">
        <f aca="false">IF($B377="","",IF($D377="","未還","已還"))</f>
        <v>已還</v>
      </c>
    </row>
    <row r="378" customFormat="false" ht="15" hidden="false" customHeight="false" outlineLevel="0" collapsed="false">
      <c r="A378" s="7" t="s">
        <v>113</v>
      </c>
      <c r="B378" s="7" t="s">
        <v>156</v>
      </c>
      <c r="C378" s="8" t="n">
        <v>45931</v>
      </c>
      <c r="D378" s="8" t="n">
        <v>45936</v>
      </c>
      <c r="E378" s="9" t="str">
        <f aca="false">IF($B378="","",IFERROR(INDEX(書籍!$B$2:$B$2000,MATCH($B378,書籍!$A$2:$A$2000,0)),"（沒建檔）"))</f>
        <v>小鎮河</v>
      </c>
      <c r="F378" s="9" t="str">
        <f aca="false">IF($A378="","",IFERROR(INDEX(會員!$B$2:$B$2000,MATCH($A378,會員!$A$2:$A$2000,0)),"（沒建檔）"))</f>
        <v>謝子涵</v>
      </c>
      <c r="G378" s="10" t="str">
        <f aca="false">IF($B378="","",IF($D378="","未還","已還"))</f>
        <v>已還</v>
      </c>
    </row>
    <row r="379" customFormat="false" ht="15" hidden="false" customHeight="false" outlineLevel="0" collapsed="false">
      <c r="A379" s="7" t="s">
        <v>95</v>
      </c>
      <c r="B379" s="7" t="s">
        <v>151</v>
      </c>
      <c r="C379" s="8" t="n">
        <v>45931</v>
      </c>
      <c r="D379" s="8" t="n">
        <v>45958</v>
      </c>
      <c r="E379" s="9" t="str">
        <f aca="false">IF($B379="","",IFERROR(INDEX(書籍!$B$2:$B$2000,MATCH($B379,書籍!$A$2:$A$2000,0)),"（沒建檔）"))</f>
        <v>微小的祕密</v>
      </c>
      <c r="F379" s="9" t="str">
        <f aca="false">IF($A379="","",IFERROR(INDEX(會員!$B$2:$B$2000,MATCH($A379,會員!$A$2:$A$2000,0)),"（沒建檔）"))</f>
        <v>邱承翰</v>
      </c>
      <c r="G379" s="10" t="str">
        <f aca="false">IF($B379="","",IF($D379="","未還","已還"))</f>
        <v>已還</v>
      </c>
    </row>
    <row r="380" customFormat="false" ht="15" hidden="false" customHeight="false" outlineLevel="0" collapsed="false">
      <c r="A380" s="7" t="s">
        <v>58</v>
      </c>
      <c r="B380" s="7" t="s">
        <v>67</v>
      </c>
      <c r="C380" s="8" t="n">
        <v>45932</v>
      </c>
      <c r="D380" s="8" t="n">
        <v>45947</v>
      </c>
      <c r="E380" s="9" t="str">
        <f aca="false">IF($B380="","",IFERROR(INDEX(書籍!$B$2:$B$2000,MATCH($B380,書籍!$A$2:$A$2000,0)),"（沒建檔）"))</f>
        <v>最後一個祕密</v>
      </c>
      <c r="F380" s="9" t="str">
        <f aca="false">IF($A380="","",IFERROR(INDEX(會員!$B$2:$B$2000,MATCH($A380,會員!$A$2:$A$2000,0)),"（沒建檔）"))</f>
        <v>賴思妤</v>
      </c>
      <c r="G380" s="10" t="str">
        <f aca="false">IF($B380="","",IF($D380="","未還","已還"))</f>
        <v>已還</v>
      </c>
    </row>
    <row r="381" customFormat="false" ht="15" hidden="false" customHeight="false" outlineLevel="0" collapsed="false">
      <c r="A381" s="7" t="s">
        <v>95</v>
      </c>
      <c r="B381" s="7" t="s">
        <v>120</v>
      </c>
      <c r="C381" s="8" t="n">
        <v>45932</v>
      </c>
      <c r="D381" s="8" t="n">
        <v>45941</v>
      </c>
      <c r="E381" s="9" t="str">
        <f aca="false">IF($B381="","",IFERROR(INDEX(書籍!$B$2:$B$2000,MATCH($B381,書籍!$A$2:$A$2000,0)),"（沒建檔）"))</f>
        <v>月球廚房</v>
      </c>
      <c r="F381" s="9" t="str">
        <f aca="false">IF($A381="","",IFERROR(INDEX(會員!$B$2:$B$2000,MATCH($A381,會員!$A$2:$A$2000,0)),"（沒建檔）"))</f>
        <v>邱承翰</v>
      </c>
      <c r="G381" s="10" t="str">
        <f aca="false">IF($B381="","",IF($D381="","未還","已還"))</f>
        <v>已還</v>
      </c>
    </row>
    <row r="382" customFormat="false" ht="15" hidden="false" customHeight="false" outlineLevel="0" collapsed="false">
      <c r="A382" s="7" t="s">
        <v>28</v>
      </c>
      <c r="B382" s="7" t="s">
        <v>106</v>
      </c>
      <c r="C382" s="8" t="n">
        <v>45933</v>
      </c>
      <c r="D382" s="8" t="n">
        <v>45954</v>
      </c>
      <c r="E382" s="9" t="str">
        <f aca="false">IF($B382="","",IFERROR(INDEX(書籍!$B$2:$B$2000,MATCH($B382,書籍!$A$2:$A$2000,0)),"（沒建檔）"))</f>
        <v>轉角鋼琴師</v>
      </c>
      <c r="F382" s="9" t="str">
        <f aca="false">IF($A382="","",IFERROR(INDEX(會員!$B$2:$B$2000,MATCH($A382,會員!$A$2:$A$2000,0)),"（沒建檔）"))</f>
        <v>郭妍希</v>
      </c>
      <c r="G382" s="10" t="str">
        <f aca="false">IF($B382="","",IF($D382="","未還","已還"))</f>
        <v>已還</v>
      </c>
    </row>
    <row r="383" customFormat="false" ht="15" hidden="false" customHeight="false" outlineLevel="0" collapsed="false">
      <c r="A383" s="7" t="s">
        <v>58</v>
      </c>
      <c r="B383" s="7" t="s">
        <v>158</v>
      </c>
      <c r="C383" s="8" t="n">
        <v>45933</v>
      </c>
      <c r="D383" s="8" t="n">
        <v>45947</v>
      </c>
      <c r="E383" s="9" t="str">
        <f aca="false">IF($B383="","",IFERROR(INDEX(書籍!$B$2:$B$2000,MATCH($B383,書籍!$A$2:$A$2000,0)),"（沒建檔）"))</f>
        <v>遺失的鋼琴師</v>
      </c>
      <c r="F383" s="9" t="str">
        <f aca="false">IF($A383="","",IFERROR(INDEX(會員!$B$2:$B$2000,MATCH($A383,會員!$A$2:$A$2000,0)),"（沒建檔）"))</f>
        <v>賴思妤</v>
      </c>
      <c r="G383" s="10" t="str">
        <f aca="false">IF($B383="","",IF($D383="","未還","已還"))</f>
        <v>已還</v>
      </c>
    </row>
    <row r="384" customFormat="false" ht="15" hidden="false" customHeight="false" outlineLevel="0" collapsed="false">
      <c r="A384" s="7" t="s">
        <v>46</v>
      </c>
      <c r="B384" s="7" t="s">
        <v>143</v>
      </c>
      <c r="C384" s="8" t="n">
        <v>45935</v>
      </c>
      <c r="D384" s="8" t="n">
        <v>45965</v>
      </c>
      <c r="E384" s="9" t="str">
        <f aca="false">IF($B384="","",IFERROR(INDEX(書籍!$B$2:$B$2000,MATCH($B384,書籍!$A$2:$A$2000,0)),"（沒建檔）"))</f>
        <v>月球花園</v>
      </c>
      <c r="F384" s="9" t="str">
        <f aca="false">IF($A384="","",IFERROR(INDEX(會員!$B$2:$B$2000,MATCH($A384,會員!$A$2:$A$2000,0)),"（沒建檔）"))</f>
        <v>郭思妤</v>
      </c>
      <c r="G384" s="10" t="str">
        <f aca="false">IF($B384="","",IF($D384="","未還","已還"))</f>
        <v>已還</v>
      </c>
    </row>
    <row r="385" customFormat="false" ht="15" hidden="false" customHeight="false" outlineLevel="0" collapsed="false">
      <c r="A385" s="7" t="s">
        <v>68</v>
      </c>
      <c r="B385" s="7" t="s">
        <v>83</v>
      </c>
      <c r="C385" s="8" t="n">
        <v>45938</v>
      </c>
      <c r="D385" s="8" t="n">
        <v>45963</v>
      </c>
      <c r="E385" s="9" t="str">
        <f aca="false">IF($B385="","",IFERROR(INDEX(書籍!$B$2:$B$2000,MATCH($B385,書籍!$A$2:$A$2000,0)),"（沒建檔）"))</f>
        <v>北方信</v>
      </c>
      <c r="F385" s="9" t="str">
        <f aca="false">IF($A385="","",IFERROR(INDEX(會員!$B$2:$B$2000,MATCH($A385,會員!$A$2:$A$2000,0)),"（沒建檔）"))</f>
        <v>賴建宏</v>
      </c>
      <c r="G385" s="10" t="str">
        <f aca="false">IF($B385="","",IF($D385="","未還","已還"))</f>
        <v>已還</v>
      </c>
    </row>
    <row r="386" customFormat="false" ht="15" hidden="false" customHeight="false" outlineLevel="0" collapsed="false">
      <c r="A386" s="7" t="s">
        <v>26</v>
      </c>
      <c r="B386" s="7" t="s">
        <v>139</v>
      </c>
      <c r="C386" s="8" t="n">
        <v>45939</v>
      </c>
      <c r="D386" s="8" t="n">
        <v>45950</v>
      </c>
      <c r="E386" s="9" t="str">
        <f aca="false">IF($B386="","",IFERROR(INDEX(書籍!$B$2:$B$2000,MATCH($B386,書籍!$A$2:$A$2000,0)),"（沒建檔）"))</f>
        <v>十二個島</v>
      </c>
      <c r="F386" s="9" t="str">
        <f aca="false">IF($A386="","",IFERROR(INDEX(會員!$B$2:$B$2000,MATCH($A386,會員!$A$2:$A$2000,0)),"（沒建檔）"))</f>
        <v>曾淑芬</v>
      </c>
      <c r="G386" s="10" t="str">
        <f aca="false">IF($B386="","",IF($D386="","未還","已還"))</f>
        <v>已還</v>
      </c>
    </row>
    <row r="387" customFormat="false" ht="15" hidden="false" customHeight="false" outlineLevel="0" collapsed="false">
      <c r="A387" s="7" t="s">
        <v>161</v>
      </c>
      <c r="B387" s="7" t="s">
        <v>125</v>
      </c>
      <c r="C387" s="8" t="n">
        <v>45939</v>
      </c>
      <c r="D387" s="8" t="n">
        <v>45965</v>
      </c>
      <c r="E387" s="9" t="str">
        <f aca="false">IF($B387="","",IFERROR(INDEX(書籍!$B$2:$B$2000,MATCH($B387,書籍!$A$2:$A$2000,0)),"（沒建檔）"))</f>
        <v>會說話的夏天</v>
      </c>
      <c r="F387" s="9" t="str">
        <f aca="false">IF($A387="","",IFERROR(INDEX(會員!$B$2:$B$2000,MATCH($A387,會員!$A$2:$A$2000,0)),"（沒建檔）"))</f>
        <v>吳彥廷</v>
      </c>
      <c r="G387" s="10" t="str">
        <f aca="false">IF($B387="","",IF($D387="","未還","已還"))</f>
        <v>已還</v>
      </c>
    </row>
    <row r="388" customFormat="false" ht="15" hidden="false" customHeight="false" outlineLevel="0" collapsed="false">
      <c r="A388" s="7" t="s">
        <v>77</v>
      </c>
      <c r="B388" s="7" t="s">
        <v>76</v>
      </c>
      <c r="C388" s="8" t="n">
        <v>45940</v>
      </c>
      <c r="D388" s="8" t="n">
        <v>45955</v>
      </c>
      <c r="E388" s="9" t="str">
        <f aca="false">IF($B388="","",IFERROR(INDEX(書籍!$B$2:$B$2000,MATCH($B388,書籍!$A$2:$A$2000,0)),"（沒建檔）"))</f>
        <v>十二個鐘樓</v>
      </c>
      <c r="F388" s="9" t="str">
        <f aca="false">IF($A388="","",IFERROR(INDEX(會員!$B$2:$B$2000,MATCH($A388,會員!$A$2:$A$2000,0)),"（沒建檔）"))</f>
        <v>吳柏翰</v>
      </c>
      <c r="G388" s="10" t="str">
        <f aca="false">IF($B388="","",IF($D388="","未還","已還"))</f>
        <v>已還</v>
      </c>
    </row>
    <row r="389" customFormat="false" ht="15" hidden="false" customHeight="false" outlineLevel="0" collapsed="false">
      <c r="A389" s="7" t="s">
        <v>46</v>
      </c>
      <c r="B389" s="7" t="s">
        <v>43</v>
      </c>
      <c r="C389" s="8" t="n">
        <v>45940</v>
      </c>
      <c r="D389" s="8" t="n">
        <v>45961</v>
      </c>
      <c r="E389" s="9" t="str">
        <f aca="false">IF($B389="","",IFERROR(INDEX(書籍!$B$2:$B$2000,MATCH($B389,書籍!$A$2:$A$2000,0)),"（沒建檔）"))</f>
        <v>看不見的廚房</v>
      </c>
      <c r="F389" s="9" t="str">
        <f aca="false">IF($A389="","",IFERROR(INDEX(會員!$B$2:$B$2000,MATCH($A389,會員!$A$2:$A$2000,0)),"（沒建檔）"))</f>
        <v>郭思妤</v>
      </c>
      <c r="G389" s="10" t="str">
        <f aca="false">IF($B389="","",IF($D389="","未還","已還"))</f>
        <v>已還</v>
      </c>
    </row>
    <row r="390" customFormat="false" ht="15" hidden="false" customHeight="false" outlineLevel="0" collapsed="false">
      <c r="A390" s="7" t="s">
        <v>34</v>
      </c>
      <c r="B390" s="7" t="s">
        <v>50</v>
      </c>
      <c r="C390" s="8" t="n">
        <v>45940</v>
      </c>
      <c r="D390" s="8" t="n">
        <v>45946</v>
      </c>
      <c r="E390" s="9" t="str">
        <f aca="false">IF($B390="","",IFERROR(INDEX(書籍!$B$2:$B$2000,MATCH($B390,書籍!$A$2:$A$2000,0)),"（沒建檔）"))</f>
        <v>月球地圖</v>
      </c>
      <c r="F390" s="9" t="str">
        <f aca="false">IF($A390="","",IFERROR(INDEX(會員!$B$2:$B$2000,MATCH($A390,會員!$A$2:$A$2000,0)),"（沒建檔）"))</f>
        <v>蔡彥廷</v>
      </c>
      <c r="G390" s="10" t="str">
        <f aca="false">IF($B390="","",IF($D390="","未還","已還"))</f>
        <v>已還</v>
      </c>
    </row>
    <row r="391" customFormat="false" ht="15" hidden="false" customHeight="false" outlineLevel="0" collapsed="false">
      <c r="A391" s="7" t="s">
        <v>75</v>
      </c>
      <c r="B391" s="7" t="s">
        <v>81</v>
      </c>
      <c r="C391" s="8" t="n">
        <v>45942</v>
      </c>
      <c r="D391" s="8" t="n">
        <v>45971</v>
      </c>
      <c r="E391" s="9" t="str">
        <f aca="false">IF($B391="","",IFERROR(INDEX(書籍!$B$2:$B$2000,MATCH($B391,書籍!$A$2:$A$2000,0)),"（沒建檔）"))</f>
        <v>紙上的祕密</v>
      </c>
      <c r="F391" s="9" t="str">
        <f aca="false">IF($A391="","",IFERROR(INDEX(會員!$B$2:$B$2000,MATCH($A391,會員!$A$2:$A$2000,0)),"（沒建檔）"))</f>
        <v>黃芷萱</v>
      </c>
      <c r="G391" s="10" t="str">
        <f aca="false">IF($B391="","",IF($D391="","未還","已還"))</f>
        <v>已還</v>
      </c>
    </row>
    <row r="392" customFormat="false" ht="15" hidden="false" customHeight="false" outlineLevel="0" collapsed="false">
      <c r="A392" s="7" t="s">
        <v>130</v>
      </c>
      <c r="B392" s="7" t="s">
        <v>62</v>
      </c>
      <c r="C392" s="8" t="n">
        <v>45942</v>
      </c>
      <c r="D392" s="8" t="n">
        <v>45963</v>
      </c>
      <c r="E392" s="9" t="str">
        <f aca="false">IF($B392="","",IFERROR(INDEX(書籍!$B$2:$B$2000,MATCH($B392,書籍!$A$2:$A$2000,0)),"（沒建檔）"))</f>
        <v>海邊的貓</v>
      </c>
      <c r="F392" s="9" t="str">
        <f aca="false">IF($A392="","",IFERROR(INDEX(會員!$B$2:$B$2000,MATCH($A392,會員!$A$2:$A$2000,0)),"（沒建檔）"))</f>
        <v>林子涵</v>
      </c>
      <c r="G392" s="10" t="str">
        <f aca="false">IF($B392="","",IF($D392="","未還","已還"))</f>
        <v>已還</v>
      </c>
    </row>
    <row r="393" customFormat="false" ht="15" hidden="false" customHeight="false" outlineLevel="0" collapsed="false">
      <c r="A393" s="7" t="s">
        <v>97</v>
      </c>
      <c r="B393" s="7" t="s">
        <v>150</v>
      </c>
      <c r="C393" s="8" t="n">
        <v>45943</v>
      </c>
      <c r="D393" s="8" t="n">
        <v>45967</v>
      </c>
      <c r="E393" s="9" t="str">
        <f aca="false">IF($B393="","",IFERROR(INDEX(書籍!$B$2:$B$2000,MATCH($B393,書籍!$A$2:$A$2000,0)),"（沒建檔）"))</f>
        <v>第七號地圖</v>
      </c>
      <c r="F393" s="9" t="str">
        <f aca="false">IF($A393="","",IFERROR(INDEX(會員!$B$2:$B$2000,MATCH($A393,會員!$A$2:$A$2000,0)),"（沒建檔）"))</f>
        <v>廖品妍</v>
      </c>
      <c r="G393" s="10" t="str">
        <f aca="false">IF($B393="","",IF($D393="","未還","已還"))</f>
        <v>已還</v>
      </c>
    </row>
    <row r="394" customFormat="false" ht="15" hidden="false" customHeight="false" outlineLevel="0" collapsed="false">
      <c r="A394" s="7" t="s">
        <v>68</v>
      </c>
      <c r="B394" s="7" t="s">
        <v>148</v>
      </c>
      <c r="C394" s="8" t="n">
        <v>45943</v>
      </c>
      <c r="D394" s="8" t="n">
        <v>45949</v>
      </c>
      <c r="E394" s="9" t="str">
        <f aca="false">IF($B394="","",IFERROR(INDEX(書籍!$B$2:$B$2000,MATCH($B394,書籍!$A$2:$A$2000,0)),"（沒建檔）"))</f>
        <v>漫長的鋼琴師</v>
      </c>
      <c r="F394" s="9" t="str">
        <f aca="false">IF($A394="","",IFERROR(INDEX(會員!$B$2:$B$2000,MATCH($A394,會員!$A$2:$A$2000,0)),"（沒建檔）"))</f>
        <v>賴建宏</v>
      </c>
      <c r="G394" s="10" t="str">
        <f aca="false">IF($B394="","",IF($D394="","未還","已還"))</f>
        <v>已還</v>
      </c>
    </row>
    <row r="395" customFormat="false" ht="15" hidden="false" customHeight="false" outlineLevel="0" collapsed="false">
      <c r="A395" s="7" t="s">
        <v>54</v>
      </c>
      <c r="B395" s="7" t="s">
        <v>138</v>
      </c>
      <c r="C395" s="8" t="n">
        <v>45945</v>
      </c>
      <c r="D395" s="8" t="n">
        <v>45963</v>
      </c>
      <c r="E395" s="9" t="str">
        <f aca="false">IF($B395="","",IFERROR(INDEX(書籍!$B$2:$B$2000,MATCH($B395,書籍!$A$2:$A$2000,0)),"（沒建檔）"))</f>
        <v>沉默的鐘樓</v>
      </c>
      <c r="F395" s="9" t="str">
        <f aca="false">IF($A395="","",IFERROR(INDEX(會員!$B$2:$B$2000,MATCH($A395,會員!$A$2:$A$2000,0)),"（沒建檔）"))</f>
        <v>洪季軒</v>
      </c>
      <c r="G395" s="10" t="str">
        <f aca="false">IF($B395="","",IF($D395="","未還","已還"))</f>
        <v>已還</v>
      </c>
    </row>
    <row r="396" customFormat="false" ht="15" hidden="false" customHeight="false" outlineLevel="0" collapsed="false">
      <c r="A396" s="7" t="s">
        <v>26</v>
      </c>
      <c r="B396" s="7" t="s">
        <v>159</v>
      </c>
      <c r="C396" s="8" t="n">
        <v>45945</v>
      </c>
      <c r="D396" s="8" t="n">
        <v>45954</v>
      </c>
      <c r="E396" s="9" t="str">
        <f aca="false">IF($B396="","",IFERROR(INDEX(書籍!$B$2:$B$2000,MATCH($B396,書籍!$A$2:$A$2000,0)),"（沒建檔）"))</f>
        <v>半路上的郵差</v>
      </c>
      <c r="F396" s="9" t="str">
        <f aca="false">IF($A396="","",IFERROR(INDEX(會員!$B$2:$B$2000,MATCH($A396,會員!$A$2:$A$2000,0)),"（沒建檔）"))</f>
        <v>曾淑芬</v>
      </c>
      <c r="G396" s="10" t="str">
        <f aca="false">IF($B396="","",IF($D396="","未還","已還"))</f>
        <v>已還</v>
      </c>
    </row>
    <row r="397" customFormat="false" ht="15" hidden="false" customHeight="false" outlineLevel="0" collapsed="false">
      <c r="A397" s="7" t="s">
        <v>113</v>
      </c>
      <c r="B397" s="7" t="s">
        <v>88</v>
      </c>
      <c r="C397" s="8" t="n">
        <v>45945</v>
      </c>
      <c r="D397" s="8" t="n">
        <v>45947</v>
      </c>
      <c r="E397" s="9" t="str">
        <f aca="false">IF($B397="","",IFERROR(INDEX(書籍!$B$2:$B$2000,MATCH($B397,書籍!$A$2:$A$2000,0)),"（沒建檔）"))</f>
        <v>地下室鋼琴師</v>
      </c>
      <c r="F397" s="9" t="str">
        <f aca="false">IF($A397="","",IFERROR(INDEX(會員!$B$2:$B$2000,MATCH($A397,會員!$A$2:$A$2000,0)),"（沒建檔）"))</f>
        <v>謝子涵</v>
      </c>
      <c r="G397" s="10" t="str">
        <f aca="false">IF($B397="","",IF($D397="","未還","已還"))</f>
        <v>已還</v>
      </c>
    </row>
    <row r="398" customFormat="false" ht="15" hidden="false" customHeight="false" outlineLevel="0" collapsed="false">
      <c r="A398" s="7" t="s">
        <v>22</v>
      </c>
      <c r="B398" s="7" t="s">
        <v>149</v>
      </c>
      <c r="C398" s="8" t="n">
        <v>45947</v>
      </c>
      <c r="D398" s="8" t="n">
        <v>45953</v>
      </c>
      <c r="E398" s="9" t="str">
        <f aca="false">IF($B398="","",IFERROR(INDEX(書籍!$B$2:$B$2000,MATCH($B398,書籍!$A$2:$A$2000,0)),"（沒建檔）"))</f>
        <v>會說話的貓</v>
      </c>
      <c r="F398" s="9" t="str">
        <f aca="false">IF($A398="","",IFERROR(INDEX(會員!$B$2:$B$2000,MATCH($A398,會員!$A$2:$A$2000,0)),"（沒建檔）"))</f>
        <v>王思妤</v>
      </c>
      <c r="G398" s="10" t="str">
        <f aca="false">IF($B398="","",IF($D398="","未還","已還"))</f>
        <v>已還</v>
      </c>
    </row>
    <row r="399" customFormat="false" ht="15" hidden="false" customHeight="false" outlineLevel="0" collapsed="false">
      <c r="A399" s="7" t="s">
        <v>107</v>
      </c>
      <c r="B399" s="7" t="s">
        <v>52</v>
      </c>
      <c r="C399" s="8" t="n">
        <v>45948</v>
      </c>
      <c r="D399" s="8" t="n">
        <v>45970</v>
      </c>
      <c r="E399" s="9" t="str">
        <f aca="false">IF($B399="","",IFERROR(INDEX(書籍!$B$2:$B$2000,MATCH($B399,書籍!$A$2:$A$2000,0)),"（沒建檔）"))</f>
        <v>十二個河</v>
      </c>
      <c r="F399" s="9" t="str">
        <f aca="false">IF($A399="","",IFERROR(INDEX(會員!$B$2:$B$2000,MATCH($A399,會員!$A$2:$A$2000,0)),"（沒建檔）"))</f>
        <v>陳祐誠</v>
      </c>
      <c r="G399" s="10" t="str">
        <f aca="false">IF($B399="","",IF($D399="","未還","已還"))</f>
        <v>已還</v>
      </c>
    </row>
    <row r="400" customFormat="false" ht="15" hidden="false" customHeight="false" outlineLevel="0" collapsed="false">
      <c r="A400" s="7" t="s">
        <v>32</v>
      </c>
      <c r="B400" s="7" t="s">
        <v>31</v>
      </c>
      <c r="C400" s="8" t="n">
        <v>45950</v>
      </c>
      <c r="D400" s="8" t="n">
        <v>45954</v>
      </c>
      <c r="E400" s="9" t="str">
        <f aca="false">IF($B400="","",IFERROR(INDEX(書籍!$B$2:$B$2000,MATCH($B400,書籍!$A$2:$A$2000,0)),"（沒建檔）"))</f>
        <v>沉默的鋼琴師</v>
      </c>
      <c r="F400" s="9" t="str">
        <f aca="false">IF($A400="","",IFERROR(INDEX(會員!$B$2:$B$2000,MATCH($A400,會員!$A$2:$A$2000,0)),"（沒建檔）"))</f>
        <v>李子涵</v>
      </c>
      <c r="G400" s="10" t="str">
        <f aca="false">IF($B400="","",IF($D400="","未還","已還"))</f>
        <v>已還</v>
      </c>
    </row>
    <row r="401" customFormat="false" ht="15" hidden="false" customHeight="false" outlineLevel="0" collapsed="false">
      <c r="A401" s="7" t="s">
        <v>154</v>
      </c>
      <c r="B401" s="7" t="s">
        <v>135</v>
      </c>
      <c r="C401" s="8" t="n">
        <v>45950</v>
      </c>
      <c r="D401" s="8" t="n">
        <v>45959</v>
      </c>
      <c r="E401" s="9" t="str">
        <f aca="false">IF($B401="","",IFERROR(INDEX(書籍!$B$2:$B$2000,MATCH($B401,書籍!$A$2:$A$2000,0)),"（沒建檔）"))</f>
        <v>最後一個森林</v>
      </c>
      <c r="F401" s="9" t="str">
        <f aca="false">IF($A401="","",IFERROR(INDEX(會員!$B$2:$B$2000,MATCH($A401,會員!$A$2:$A$2000,0)),"（沒建檔）"))</f>
        <v>陳雅婷</v>
      </c>
      <c r="G401" s="10" t="str">
        <f aca="false">IF($B401="","",IF($D401="","未還","已還"))</f>
        <v>已還</v>
      </c>
    </row>
    <row r="402" customFormat="false" ht="15" hidden="false" customHeight="false" outlineLevel="0" collapsed="false">
      <c r="A402" s="7" t="s">
        <v>28</v>
      </c>
      <c r="B402" s="7" t="s">
        <v>112</v>
      </c>
      <c r="C402" s="8" t="n">
        <v>45952</v>
      </c>
      <c r="D402" s="8" t="n">
        <v>45976</v>
      </c>
      <c r="E402" s="9" t="str">
        <f aca="false">IF($B402="","",IFERROR(INDEX(書籍!$B$2:$B$2000,MATCH($B402,書籍!$A$2:$A$2000,0)),"（沒建檔）"))</f>
        <v>圖書館地圖</v>
      </c>
      <c r="F402" s="9" t="str">
        <f aca="false">IF($A402="","",IFERROR(INDEX(會員!$B$2:$B$2000,MATCH($A402,會員!$A$2:$A$2000,0)),"（沒建檔）"))</f>
        <v>郭妍希</v>
      </c>
      <c r="G402" s="10" t="str">
        <f aca="false">IF($B402="","",IF($D402="","未還","已還"))</f>
        <v>已還</v>
      </c>
    </row>
    <row r="403" customFormat="false" ht="15" hidden="false" customHeight="false" outlineLevel="0" collapsed="false">
      <c r="A403" s="7" t="s">
        <v>56</v>
      </c>
      <c r="B403" s="7" t="s">
        <v>45</v>
      </c>
      <c r="C403" s="8" t="n">
        <v>45953</v>
      </c>
      <c r="D403" s="8" t="n">
        <v>45968</v>
      </c>
      <c r="E403" s="9" t="str">
        <f aca="false">IF($B403="","",IFERROR(INDEX(書籍!$B$2:$B$2000,MATCH($B403,書籍!$A$2:$A$2000,0)),"（沒建檔）"))</f>
        <v>深夜的島</v>
      </c>
      <c r="F403" s="9" t="str">
        <f aca="false">IF($A403="","",IFERROR(INDEX(會員!$B$2:$B$2000,MATCH($A403,會員!$A$2:$A$2000,0)),"（沒建檔）"))</f>
        <v>李季軒</v>
      </c>
      <c r="G403" s="10" t="str">
        <f aca="false">IF($B403="","",IF($D403="","未還","已還"))</f>
        <v>已還</v>
      </c>
    </row>
    <row r="404" customFormat="false" ht="15" hidden="false" customHeight="false" outlineLevel="0" collapsed="false">
      <c r="A404" s="7" t="s">
        <v>107</v>
      </c>
      <c r="B404" s="7" t="s">
        <v>89</v>
      </c>
      <c r="C404" s="8" t="n">
        <v>45953</v>
      </c>
      <c r="D404" s="8" t="n">
        <v>45974</v>
      </c>
      <c r="E404" s="9" t="str">
        <f aca="false">IF($B404="","",IFERROR(INDEX(書籍!$B$2:$B$2000,MATCH($B404,書籍!$A$2:$A$2000,0)),"（沒建檔）"))</f>
        <v>漫長的季節</v>
      </c>
      <c r="F404" s="9" t="str">
        <f aca="false">IF($A404="","",IFERROR(INDEX(會員!$B$2:$B$2000,MATCH($A404,會員!$A$2:$A$2000,0)),"（沒建檔）"))</f>
        <v>陳祐誠</v>
      </c>
      <c r="G404" s="10" t="str">
        <f aca="false">IF($B404="","",IF($D404="","未還","已還"))</f>
        <v>已還</v>
      </c>
    </row>
    <row r="405" customFormat="false" ht="15" hidden="false" customHeight="false" outlineLevel="0" collapsed="false">
      <c r="A405" s="7" t="s">
        <v>32</v>
      </c>
      <c r="B405" s="7" t="s">
        <v>82</v>
      </c>
      <c r="C405" s="8" t="n">
        <v>45955</v>
      </c>
      <c r="D405" s="8" t="n">
        <v>45965</v>
      </c>
      <c r="E405" s="9" t="str">
        <f aca="false">IF($B405="","",IFERROR(INDEX(書籍!$B$2:$B$2000,MATCH($B405,書籍!$A$2:$A$2000,0)),"（沒建檔）"))</f>
        <v>藍色手記</v>
      </c>
      <c r="F405" s="9" t="str">
        <f aca="false">IF($A405="","",IFERROR(INDEX(會員!$B$2:$B$2000,MATCH($A405,會員!$A$2:$A$2000,0)),"（沒建檔）"))</f>
        <v>李子涵</v>
      </c>
      <c r="G405" s="10" t="str">
        <f aca="false">IF($B405="","",IF($D405="","未還","已還"))</f>
        <v>已還</v>
      </c>
    </row>
    <row r="406" customFormat="false" ht="15" hidden="false" customHeight="false" outlineLevel="0" collapsed="false">
      <c r="A406" s="7" t="s">
        <v>99</v>
      </c>
      <c r="B406" s="7" t="s">
        <v>57</v>
      </c>
      <c r="C406" s="8" t="n">
        <v>45956</v>
      </c>
      <c r="D406" s="8" t="n">
        <v>45970</v>
      </c>
      <c r="E406" s="9" t="str">
        <f aca="false">IF($B406="","",IFERROR(INDEX(書籍!$B$2:$B$2000,MATCH($B406,書籍!$A$2:$A$2000,0)),"（沒建檔）"))</f>
        <v>沉默的森林</v>
      </c>
      <c r="F406" s="9" t="str">
        <f aca="false">IF($A406="","",IFERROR(INDEX(會員!$B$2:$B$2000,MATCH($A406,會員!$A$2:$A$2000,0)),"（沒建檔）"))</f>
        <v>王芷萱</v>
      </c>
      <c r="G406" s="10" t="str">
        <f aca="false">IF($B406="","",IF($D406="","未還","已還"))</f>
        <v>已還</v>
      </c>
    </row>
    <row r="407" customFormat="false" ht="15" hidden="false" customHeight="false" outlineLevel="0" collapsed="false">
      <c r="A407" s="7" t="s">
        <v>56</v>
      </c>
      <c r="B407" s="7" t="s">
        <v>59</v>
      </c>
      <c r="C407" s="8" t="n">
        <v>45956</v>
      </c>
      <c r="D407" s="8" t="n">
        <v>45976</v>
      </c>
      <c r="E407" s="9" t="str">
        <f aca="false">IF($B407="","",IFERROR(INDEX(書籍!$B$2:$B$2000,MATCH($B407,書籍!$A$2:$A$2000,0)),"（沒建檔）"))</f>
        <v>月球回信</v>
      </c>
      <c r="F407" s="9" t="str">
        <f aca="false">IF($A407="","",IFERROR(INDEX(會員!$B$2:$B$2000,MATCH($A407,會員!$A$2:$A$2000,0)),"（沒建檔）"))</f>
        <v>李季軒</v>
      </c>
      <c r="G407" s="10" t="str">
        <f aca="false">IF($B407="","",IF($D407="","未還","已還"))</f>
        <v>已還</v>
      </c>
    </row>
    <row r="408" customFormat="false" ht="15" hidden="false" customHeight="false" outlineLevel="0" collapsed="false">
      <c r="A408" s="7" t="s">
        <v>32</v>
      </c>
      <c r="B408" s="7" t="s">
        <v>23</v>
      </c>
      <c r="C408" s="8" t="n">
        <v>45957</v>
      </c>
      <c r="D408" s="8" t="n">
        <v>45967</v>
      </c>
      <c r="E408" s="9" t="str">
        <f aca="false">IF($B408="","",IFERROR(INDEX(書籍!$B$2:$B$2000,MATCH($B408,書籍!$A$2:$A$2000,0)),"（沒建檔）"))</f>
        <v>漫長的夏天</v>
      </c>
      <c r="F408" s="9" t="str">
        <f aca="false">IF($A408="","",IFERROR(INDEX(會員!$B$2:$B$2000,MATCH($A408,會員!$A$2:$A$2000,0)),"（沒建檔）"))</f>
        <v>李子涵</v>
      </c>
      <c r="G408" s="10" t="str">
        <f aca="false">IF($B408="","",IF($D408="","未還","已還"))</f>
        <v>已還</v>
      </c>
    </row>
    <row r="409" customFormat="false" ht="15" hidden="false" customHeight="false" outlineLevel="0" collapsed="false">
      <c r="A409" s="7" t="s">
        <v>54</v>
      </c>
      <c r="B409" s="7" t="s">
        <v>148</v>
      </c>
      <c r="C409" s="8" t="n">
        <v>45958</v>
      </c>
      <c r="D409" s="8" t="n">
        <v>45959</v>
      </c>
      <c r="E409" s="9" t="str">
        <f aca="false">IF($B409="","",IFERROR(INDEX(書籍!$B$2:$B$2000,MATCH($B409,書籍!$A$2:$A$2000,0)),"（沒建檔）"))</f>
        <v>漫長的鋼琴師</v>
      </c>
      <c r="F409" s="9" t="str">
        <f aca="false">IF($A409="","",IFERROR(INDEX(會員!$B$2:$B$2000,MATCH($A409,會員!$A$2:$A$2000,0)),"（沒建檔）"))</f>
        <v>洪季軒</v>
      </c>
      <c r="G409" s="10" t="str">
        <f aca="false">IF($B409="","",IF($D409="","未還","已還"))</f>
        <v>已還</v>
      </c>
    </row>
    <row r="410" customFormat="false" ht="15" hidden="false" customHeight="false" outlineLevel="0" collapsed="false">
      <c r="A410" s="7" t="s">
        <v>113</v>
      </c>
      <c r="B410" s="7" t="s">
        <v>131</v>
      </c>
      <c r="C410" s="8" t="n">
        <v>45958</v>
      </c>
      <c r="D410" s="8" t="n">
        <v>45986</v>
      </c>
      <c r="E410" s="9" t="str">
        <f aca="false">IF($B410="","",IFERROR(INDEX(書籍!$B$2:$B$2000,MATCH($B410,書籍!$A$2:$A$2000,0)),"（沒建檔）"))</f>
        <v>遠方的花園</v>
      </c>
      <c r="F410" s="9" t="str">
        <f aca="false">IF($A410="","",IFERROR(INDEX(會員!$B$2:$B$2000,MATCH($A410,會員!$A$2:$A$2000,0)),"（沒建檔）"))</f>
        <v>謝子涵</v>
      </c>
      <c r="G410" s="10" t="str">
        <f aca="false">IF($B410="","",IF($D410="","未還","已還"))</f>
        <v>已還</v>
      </c>
    </row>
    <row r="411" customFormat="false" ht="15" hidden="false" customHeight="false" outlineLevel="0" collapsed="false">
      <c r="A411" s="7" t="s">
        <v>37</v>
      </c>
      <c r="B411" s="7" t="s">
        <v>65</v>
      </c>
      <c r="C411" s="8" t="n">
        <v>45959</v>
      </c>
      <c r="D411" s="8" t="n">
        <v>45967</v>
      </c>
      <c r="E411" s="9" t="str">
        <f aca="false">IF($B411="","",IFERROR(INDEX(書籍!$B$2:$B$2000,MATCH($B411,書籍!$A$2:$A$2000,0)),"（沒建檔）"))</f>
        <v>深夜的季節</v>
      </c>
      <c r="F411" s="9" t="str">
        <f aca="false">IF($A411="","",IFERROR(INDEX(會員!$B$2:$B$2000,MATCH($A411,會員!$A$2:$A$2000,0)),"（沒建檔）"))</f>
        <v>郭芷萱</v>
      </c>
      <c r="G411" s="10" t="str">
        <f aca="false">IF($B411="","",IF($D411="","未還","已還"))</f>
        <v>已還</v>
      </c>
    </row>
    <row r="412" customFormat="false" ht="15" hidden="false" customHeight="false" outlineLevel="0" collapsed="false">
      <c r="A412" s="7" t="s">
        <v>122</v>
      </c>
      <c r="B412" s="7" t="s">
        <v>90</v>
      </c>
      <c r="C412" s="8" t="n">
        <v>45960</v>
      </c>
      <c r="D412" s="8" t="n">
        <v>45985</v>
      </c>
      <c r="E412" s="9" t="str">
        <f aca="false">IF($B412="","",IFERROR(INDEX(書籍!$B$2:$B$2000,MATCH($B412,書籍!$A$2:$A$2000,0)),"（沒建檔）"))</f>
        <v>漫長的書店</v>
      </c>
      <c r="F412" s="9" t="str">
        <f aca="false">IF($A412="","",IFERROR(INDEX(會員!$B$2:$B$2000,MATCH($A412,會員!$A$2:$A$2000,0)),"（沒建檔）"))</f>
        <v>周彥廷</v>
      </c>
      <c r="G412" s="10" t="str">
        <f aca="false">IF($B412="","",IF($D412="","未還","已還"))</f>
        <v>已還</v>
      </c>
    </row>
    <row r="413" customFormat="false" ht="15" hidden="false" customHeight="false" outlineLevel="0" collapsed="false">
      <c r="A413" s="7" t="s">
        <v>66</v>
      </c>
      <c r="B413" s="7" t="s">
        <v>73</v>
      </c>
      <c r="C413" s="8" t="n">
        <v>45962</v>
      </c>
      <c r="D413" s="8" t="n">
        <v>45969</v>
      </c>
      <c r="E413" s="9" t="str">
        <f aca="false">IF($B413="","",IFERROR(INDEX(書籍!$B$2:$B$2000,MATCH($B413,書籍!$A$2:$A$2000,0)),"（沒建檔）"))</f>
        <v>海邊的森林</v>
      </c>
      <c r="F413" s="9" t="str">
        <f aca="false">IF($A413="","",IFERROR(INDEX(會員!$B$2:$B$2000,MATCH($A413,會員!$A$2:$A$2000,0)),"（沒建檔）"))</f>
        <v>郭柏翰</v>
      </c>
      <c r="G413" s="10" t="str">
        <f aca="false">IF($B413="","",IF($D413="","未還","已還"))</f>
        <v>已還</v>
      </c>
    </row>
    <row r="414" customFormat="false" ht="15" hidden="false" customHeight="false" outlineLevel="0" collapsed="false">
      <c r="A414" s="7" t="s">
        <v>154</v>
      </c>
      <c r="B414" s="7" t="s">
        <v>50</v>
      </c>
      <c r="C414" s="8" t="n">
        <v>45962</v>
      </c>
      <c r="D414" s="8" t="n">
        <v>45967</v>
      </c>
      <c r="E414" s="9" t="str">
        <f aca="false">IF($B414="","",IFERROR(INDEX(書籍!$B$2:$B$2000,MATCH($B414,書籍!$A$2:$A$2000,0)),"（沒建檔）"))</f>
        <v>月球地圖</v>
      </c>
      <c r="F414" s="9" t="str">
        <f aca="false">IF($A414="","",IFERROR(INDEX(會員!$B$2:$B$2000,MATCH($A414,會員!$A$2:$A$2000,0)),"（沒建檔）"))</f>
        <v>陳雅婷</v>
      </c>
      <c r="G414" s="10" t="str">
        <f aca="false">IF($B414="","",IF($D414="","未還","已還"))</f>
        <v>已還</v>
      </c>
    </row>
    <row r="415" customFormat="false" ht="15" hidden="false" customHeight="false" outlineLevel="0" collapsed="false">
      <c r="A415" s="7" t="s">
        <v>28</v>
      </c>
      <c r="B415" s="7" t="s">
        <v>36</v>
      </c>
      <c r="C415" s="8" t="n">
        <v>45963</v>
      </c>
      <c r="D415" s="8" t="n">
        <v>45986</v>
      </c>
      <c r="E415" s="9" t="str">
        <f aca="false">IF($B415="","",IFERROR(INDEX(書籍!$B$2:$B$2000,MATCH($B415,書籍!$A$2:$A$2000,0)),"（沒建檔）"))</f>
        <v>紙上的鋼琴師</v>
      </c>
      <c r="F415" s="9" t="str">
        <f aca="false">IF($A415="","",IFERROR(INDEX(會員!$B$2:$B$2000,MATCH($A415,會員!$A$2:$A$2000,0)),"（沒建檔）"))</f>
        <v>郭妍希</v>
      </c>
      <c r="G415" s="10" t="str">
        <f aca="false">IF($B415="","",IF($D415="","未還","已還"))</f>
        <v>已還</v>
      </c>
    </row>
    <row r="416" customFormat="false" ht="15" hidden="false" customHeight="false" outlineLevel="0" collapsed="false">
      <c r="A416" s="7" t="s">
        <v>34</v>
      </c>
      <c r="B416" s="7" t="s">
        <v>133</v>
      </c>
      <c r="C416" s="8" t="n">
        <v>45965</v>
      </c>
      <c r="D416" s="8" t="n">
        <v>45986</v>
      </c>
      <c r="E416" s="9" t="str">
        <f aca="false">IF($B416="","",IFERROR(INDEX(書籍!$B$2:$B$2000,MATCH($B416,書籍!$A$2:$A$2000,0)),"（沒建檔）"))</f>
        <v>深夜的咖啡館</v>
      </c>
      <c r="F416" s="9" t="str">
        <f aca="false">IF($A416="","",IFERROR(INDEX(會員!$B$2:$B$2000,MATCH($A416,會員!$A$2:$A$2000,0)),"（沒建檔）"))</f>
        <v>蔡彥廷</v>
      </c>
      <c r="G416" s="10" t="str">
        <f aca="false">IF($B416="","",IF($D416="","未還","已還"))</f>
        <v>已還</v>
      </c>
    </row>
    <row r="417" customFormat="false" ht="15" hidden="false" customHeight="false" outlineLevel="0" collapsed="false">
      <c r="A417" s="7" t="s">
        <v>51</v>
      </c>
      <c r="B417" s="7" t="s">
        <v>142</v>
      </c>
      <c r="C417" s="8" t="n">
        <v>45966</v>
      </c>
      <c r="D417" s="8" t="n">
        <v>45974</v>
      </c>
      <c r="E417" s="9" t="str">
        <f aca="false">IF($B417="","",IFERROR(INDEX(書籍!$B$2:$B$2000,MATCH($B417,書籍!$A$2:$A$2000,0)),"（沒建檔）"))</f>
        <v>深夜的河</v>
      </c>
      <c r="F417" s="9" t="str">
        <f aca="false">IF($A417="","",IFERROR(INDEX(會員!$B$2:$B$2000,MATCH($A417,會員!$A$2:$A$2000,0)),"（沒建檔）"))</f>
        <v>林子涵</v>
      </c>
      <c r="G417" s="10" t="str">
        <f aca="false">IF($B417="","",IF($D417="","未還","已還"))</f>
        <v>已還</v>
      </c>
    </row>
    <row r="418" customFormat="false" ht="15" hidden="false" customHeight="false" outlineLevel="0" collapsed="false">
      <c r="A418" s="7" t="s">
        <v>75</v>
      </c>
      <c r="B418" s="7" t="s">
        <v>38</v>
      </c>
      <c r="C418" s="8" t="n">
        <v>45968</v>
      </c>
      <c r="D418" s="8" t="n">
        <v>45971</v>
      </c>
      <c r="E418" s="9" t="str">
        <f aca="false">IF($B418="","",IFERROR(INDEX(書籍!$B$2:$B$2000,MATCH($B418,書籍!$A$2:$A$2000,0)),"（沒建檔）"))</f>
        <v>小鎮森林</v>
      </c>
      <c r="F418" s="9" t="str">
        <f aca="false">IF($A418="","",IFERROR(INDEX(會員!$B$2:$B$2000,MATCH($A418,會員!$A$2:$A$2000,0)),"（沒建檔）"))</f>
        <v>黃芷萱</v>
      </c>
      <c r="G418" s="10" t="str">
        <f aca="false">IF($B418="","",IF($D418="","未還","已還"))</f>
        <v>已還</v>
      </c>
    </row>
    <row r="419" customFormat="false" ht="15" hidden="false" customHeight="false" outlineLevel="0" collapsed="false">
      <c r="A419" s="7" t="s">
        <v>46</v>
      </c>
      <c r="B419" s="7" t="s">
        <v>88</v>
      </c>
      <c r="C419" s="8" t="n">
        <v>45968</v>
      </c>
      <c r="D419" s="8" t="n">
        <v>45993</v>
      </c>
      <c r="E419" s="9" t="str">
        <f aca="false">IF($B419="","",IFERROR(INDEX(書籍!$B$2:$B$2000,MATCH($B419,書籍!$A$2:$A$2000,0)),"（沒建檔）"))</f>
        <v>地下室鋼琴師</v>
      </c>
      <c r="F419" s="9" t="str">
        <f aca="false">IF($A419="","",IFERROR(INDEX(會員!$B$2:$B$2000,MATCH($A419,會員!$A$2:$A$2000,0)),"（沒建檔）"))</f>
        <v>郭思妤</v>
      </c>
      <c r="G419" s="10" t="str">
        <f aca="false">IF($B419="","",IF($D419="","未還","已還"))</f>
        <v>已還</v>
      </c>
    </row>
    <row r="420" customFormat="false" ht="15" hidden="false" customHeight="false" outlineLevel="0" collapsed="false">
      <c r="A420" s="7" t="s">
        <v>26</v>
      </c>
      <c r="B420" s="7" t="s">
        <v>108</v>
      </c>
      <c r="C420" s="8" t="n">
        <v>45970</v>
      </c>
      <c r="D420" s="8" t="n">
        <v>45983</v>
      </c>
      <c r="E420" s="9" t="str">
        <f aca="false">IF($B420="","",IFERROR(INDEX(書籍!$B$2:$B$2000,MATCH($B420,書籍!$A$2:$A$2000,0)),"（沒建檔）"))</f>
        <v>兩個人的森林</v>
      </c>
      <c r="F420" s="9" t="str">
        <f aca="false">IF($A420="","",IFERROR(INDEX(會員!$B$2:$B$2000,MATCH($A420,會員!$A$2:$A$2000,0)),"（沒建檔）"))</f>
        <v>曾淑芬</v>
      </c>
      <c r="G420" s="10" t="str">
        <f aca="false">IF($B420="","",IF($D420="","未還","已還"))</f>
        <v>已還</v>
      </c>
    </row>
    <row r="421" customFormat="false" ht="15" hidden="false" customHeight="false" outlineLevel="0" collapsed="false">
      <c r="A421" s="7" t="s">
        <v>130</v>
      </c>
      <c r="B421" s="7" t="s">
        <v>121</v>
      </c>
      <c r="C421" s="8" t="n">
        <v>45970</v>
      </c>
      <c r="D421" s="8" t="n">
        <v>45987</v>
      </c>
      <c r="E421" s="9" t="str">
        <f aca="false">IF($B421="","",IFERROR(INDEX(書籍!$B$2:$B$2000,MATCH($B421,書籍!$A$2:$A$2000,0)),"（沒建檔）"))</f>
        <v>轉角夏天</v>
      </c>
      <c r="F421" s="9" t="str">
        <f aca="false">IF($A421="","",IFERROR(INDEX(會員!$B$2:$B$2000,MATCH($A421,會員!$A$2:$A$2000,0)),"（沒建檔）"))</f>
        <v>林子涵</v>
      </c>
      <c r="G421" s="10" t="str">
        <f aca="false">IF($B421="","",IF($D421="","未還","已還"))</f>
        <v>已還</v>
      </c>
    </row>
    <row r="422" customFormat="false" ht="15" hidden="false" customHeight="false" outlineLevel="0" collapsed="false">
      <c r="A422" s="7" t="s">
        <v>49</v>
      </c>
      <c r="B422" s="7" t="s">
        <v>71</v>
      </c>
      <c r="C422" s="8" t="n">
        <v>45970</v>
      </c>
      <c r="D422" s="8" t="n">
        <v>45990</v>
      </c>
      <c r="E422" s="9" t="str">
        <f aca="false">IF($B422="","",IFERROR(INDEX(書籍!$B$2:$B$2000,MATCH($B422,書籍!$A$2:$A$2000,0)),"（沒建檔）"))</f>
        <v>深夜的手記</v>
      </c>
      <c r="F422" s="9" t="str">
        <f aca="false">IF($A422="","",IFERROR(INDEX(會員!$B$2:$B$2000,MATCH($A422,會員!$A$2:$A$2000,0)),"（沒建檔）"))</f>
        <v>張宜庭</v>
      </c>
      <c r="G422" s="10" t="str">
        <f aca="false">IF($B422="","",IF($D422="","未還","已還"))</f>
        <v>已還</v>
      </c>
    </row>
    <row r="423" customFormat="false" ht="15" hidden="false" customHeight="false" outlineLevel="0" collapsed="false">
      <c r="A423" s="7" t="s">
        <v>66</v>
      </c>
      <c r="B423" s="7" t="s">
        <v>135</v>
      </c>
      <c r="C423" s="8" t="n">
        <v>45971</v>
      </c>
      <c r="D423" s="8" t="n">
        <v>46000</v>
      </c>
      <c r="E423" s="9" t="str">
        <f aca="false">IF($B423="","",IFERROR(INDEX(書籍!$B$2:$B$2000,MATCH($B423,書籍!$A$2:$A$2000,0)),"（沒建檔）"))</f>
        <v>最後一個森林</v>
      </c>
      <c r="F423" s="9" t="str">
        <f aca="false">IF($A423="","",IFERROR(INDEX(會員!$B$2:$B$2000,MATCH($A423,會員!$A$2:$A$2000,0)),"（沒建檔）"))</f>
        <v>郭柏翰</v>
      </c>
      <c r="G423" s="10" t="str">
        <f aca="false">IF($B423="","",IF($D423="","未還","已還"))</f>
        <v>已還</v>
      </c>
    </row>
    <row r="424" customFormat="false" ht="15" hidden="false" customHeight="false" outlineLevel="0" collapsed="false">
      <c r="A424" s="7" t="s">
        <v>54</v>
      </c>
      <c r="B424" s="7" t="s">
        <v>70</v>
      </c>
      <c r="C424" s="8" t="n">
        <v>45971</v>
      </c>
      <c r="D424" s="8" t="n">
        <v>45974</v>
      </c>
      <c r="E424" s="9" t="str">
        <f aca="false">IF($B424="","",IFERROR(INDEX(書籍!$B$2:$B$2000,MATCH($B424,書籍!$A$2:$A$2000,0)),"（沒建檔）"))</f>
        <v>深夜的約定</v>
      </c>
      <c r="F424" s="9" t="str">
        <f aca="false">IF($A424="","",IFERROR(INDEX(會員!$B$2:$B$2000,MATCH($A424,會員!$A$2:$A$2000,0)),"（沒建檔）"))</f>
        <v>洪季軒</v>
      </c>
      <c r="G424" s="10" t="str">
        <f aca="false">IF($B424="","",IF($D424="","未還","已還"))</f>
        <v>已還</v>
      </c>
    </row>
    <row r="425" customFormat="false" ht="15" hidden="false" customHeight="false" outlineLevel="0" collapsed="false">
      <c r="A425" s="7" t="s">
        <v>122</v>
      </c>
      <c r="B425" s="7" t="s">
        <v>143</v>
      </c>
      <c r="C425" s="8" t="n">
        <v>45972</v>
      </c>
      <c r="D425" s="8" t="n">
        <v>45989</v>
      </c>
      <c r="E425" s="9" t="str">
        <f aca="false">IF($B425="","",IFERROR(INDEX(書籍!$B$2:$B$2000,MATCH($B425,書籍!$A$2:$A$2000,0)),"（沒建檔）"))</f>
        <v>月球花園</v>
      </c>
      <c r="F425" s="9" t="str">
        <f aca="false">IF($A425="","",IFERROR(INDEX(會員!$B$2:$B$2000,MATCH($A425,會員!$A$2:$A$2000,0)),"（沒建檔）"))</f>
        <v>周彥廷</v>
      </c>
      <c r="G425" s="10" t="str">
        <f aca="false">IF($B425="","",IF($D425="","未還","已還"))</f>
        <v>已還</v>
      </c>
    </row>
    <row r="426" customFormat="false" ht="15" hidden="false" customHeight="false" outlineLevel="0" collapsed="false">
      <c r="A426" s="7" t="s">
        <v>107</v>
      </c>
      <c r="B426" s="7" t="s">
        <v>39</v>
      </c>
      <c r="C426" s="8" t="n">
        <v>45972</v>
      </c>
      <c r="D426" s="8" t="n">
        <v>46002</v>
      </c>
      <c r="E426" s="9" t="str">
        <f aca="false">IF($B426="","",IFERROR(INDEX(書籍!$B$2:$B$2000,MATCH($B426,書籍!$A$2:$A$2000,0)),"（沒建檔）"))</f>
        <v>看不見的花園</v>
      </c>
      <c r="F426" s="9" t="str">
        <f aca="false">IF($A426="","",IFERROR(INDEX(會員!$B$2:$B$2000,MATCH($A426,會員!$A$2:$A$2000,0)),"（沒建檔）"))</f>
        <v>陳祐誠</v>
      </c>
      <c r="G426" s="10" t="str">
        <f aca="false">IF($B426="","",IF($D426="","未還","已還"))</f>
        <v>已還</v>
      </c>
    </row>
    <row r="427" customFormat="false" ht="15" hidden="false" customHeight="false" outlineLevel="0" collapsed="false">
      <c r="A427" s="7" t="s">
        <v>93</v>
      </c>
      <c r="B427" s="7" t="s">
        <v>47</v>
      </c>
      <c r="C427" s="8" t="n">
        <v>45973</v>
      </c>
      <c r="D427" s="8" t="n">
        <v>45987</v>
      </c>
      <c r="E427" s="9" t="str">
        <f aca="false">IF($B427="","",IFERROR(INDEX(書籍!$B$2:$B$2000,MATCH($B427,書籍!$A$2:$A$2000,0)),"（沒建檔）"))</f>
        <v>最後一個花園</v>
      </c>
      <c r="F427" s="9" t="str">
        <f aca="false">IF($A427="","",IFERROR(INDEX(會員!$B$2:$B$2000,MATCH($A427,會員!$A$2:$A$2000,0)),"（沒建檔）"))</f>
        <v>邱沐恩</v>
      </c>
      <c r="G427" s="10" t="str">
        <f aca="false">IF($B427="","",IF($D427="","未還","已還"))</f>
        <v>已還</v>
      </c>
    </row>
    <row r="428" customFormat="false" ht="15" hidden="false" customHeight="false" outlineLevel="0" collapsed="false">
      <c r="A428" s="7" t="s">
        <v>101</v>
      </c>
      <c r="B428" s="7" t="s">
        <v>104</v>
      </c>
      <c r="C428" s="8" t="n">
        <v>45974</v>
      </c>
      <c r="D428" s="8" t="n">
        <v>45980</v>
      </c>
      <c r="E428" s="9" t="str">
        <f aca="false">IF($B428="","",IFERROR(INDEX(書籍!$B$2:$B$2000,MATCH($B428,書籍!$A$2:$A$2000,0)),"（沒建檔）"))</f>
        <v>藍色郵差</v>
      </c>
      <c r="F428" s="9" t="str">
        <f aca="false">IF($A428="","",IFERROR(INDEX(會員!$B$2:$B$2000,MATCH($A428,會員!$A$2:$A$2000,0)),"（沒建檔）"))</f>
        <v>曾志明</v>
      </c>
      <c r="G428" s="10" t="str">
        <f aca="false">IF($B428="","",IF($D428="","未還","已還"))</f>
        <v>已還</v>
      </c>
    </row>
    <row r="429" customFormat="false" ht="15" hidden="false" customHeight="false" outlineLevel="0" collapsed="false">
      <c r="A429" s="7" t="s">
        <v>77</v>
      </c>
      <c r="B429" s="7" t="s">
        <v>31</v>
      </c>
      <c r="C429" s="8" t="n">
        <v>45974</v>
      </c>
      <c r="D429" s="8" t="n">
        <v>45977</v>
      </c>
      <c r="E429" s="9" t="str">
        <f aca="false">IF($B429="","",IFERROR(INDEX(書籍!$B$2:$B$2000,MATCH($B429,書籍!$A$2:$A$2000,0)),"（沒建檔）"))</f>
        <v>沉默的鋼琴師</v>
      </c>
      <c r="F429" s="9" t="str">
        <f aca="false">IF($A429="","",IFERROR(INDEX(會員!$B$2:$B$2000,MATCH($A429,會員!$A$2:$A$2000,0)),"（沒建檔）"))</f>
        <v>吳柏翰</v>
      </c>
      <c r="G429" s="10" t="str">
        <f aca="false">IF($B429="","",IF($D429="","未還","已還"))</f>
        <v>已還</v>
      </c>
    </row>
    <row r="430" customFormat="false" ht="15" hidden="false" customHeight="false" outlineLevel="0" collapsed="false">
      <c r="A430" s="7" t="s">
        <v>80</v>
      </c>
      <c r="B430" s="7" t="s">
        <v>103</v>
      </c>
      <c r="C430" s="8" t="n">
        <v>45975</v>
      </c>
      <c r="D430" s="8" t="n">
        <v>45976</v>
      </c>
      <c r="E430" s="9" t="str">
        <f aca="false">IF($B430="","",IFERROR(INDEX(書籍!$B$2:$B$2000,MATCH($B430,書籍!$A$2:$A$2000,0)),"（沒建檔）"))</f>
        <v>藍色約定</v>
      </c>
      <c r="F430" s="9" t="str">
        <f aca="false">IF($A430="","",IFERROR(INDEX(會員!$B$2:$B$2000,MATCH($A430,會員!$A$2:$A$2000,0)),"（沒建檔）"))</f>
        <v>洪詠晴</v>
      </c>
      <c r="G430" s="10" t="str">
        <f aca="false">IF($B430="","",IF($D430="","未還","已還"))</f>
        <v>已還</v>
      </c>
    </row>
    <row r="431" customFormat="false" ht="15" hidden="false" customHeight="false" outlineLevel="0" collapsed="false">
      <c r="A431" s="7" t="s">
        <v>113</v>
      </c>
      <c r="B431" s="7" t="s">
        <v>142</v>
      </c>
      <c r="C431" s="8" t="n">
        <v>45975</v>
      </c>
      <c r="D431" s="8" t="n">
        <v>45976</v>
      </c>
      <c r="E431" s="9" t="str">
        <f aca="false">IF($B431="","",IFERROR(INDEX(書籍!$B$2:$B$2000,MATCH($B431,書籍!$A$2:$A$2000,0)),"（沒建檔）"))</f>
        <v>深夜的河</v>
      </c>
      <c r="F431" s="9" t="str">
        <f aca="false">IF($A431="","",IFERROR(INDEX(會員!$B$2:$B$2000,MATCH($A431,會員!$A$2:$A$2000,0)),"（沒建檔）"))</f>
        <v>謝子涵</v>
      </c>
      <c r="G431" s="10" t="str">
        <f aca="false">IF($B431="","",IF($D431="","未還","已還"))</f>
        <v>已還</v>
      </c>
    </row>
    <row r="432" customFormat="false" ht="15" hidden="false" customHeight="false" outlineLevel="0" collapsed="false">
      <c r="A432" s="7" t="s">
        <v>75</v>
      </c>
      <c r="B432" s="7" t="s">
        <v>61</v>
      </c>
      <c r="C432" s="8" t="n">
        <v>45976</v>
      </c>
      <c r="D432" s="8" t="n">
        <v>46002</v>
      </c>
      <c r="E432" s="9" t="str">
        <f aca="false">IF($B432="","",IFERROR(INDEX(書籍!$B$2:$B$2000,MATCH($B432,書籍!$A$2:$A$2000,0)),"（沒建檔）"))</f>
        <v>沉默的廚房</v>
      </c>
      <c r="F432" s="9" t="str">
        <f aca="false">IF($A432="","",IFERROR(INDEX(會員!$B$2:$B$2000,MATCH($A432,會員!$A$2:$A$2000,0)),"（沒建檔）"))</f>
        <v>黃芷萱</v>
      </c>
      <c r="G432" s="10" t="str">
        <f aca="false">IF($B432="","",IF($D432="","未還","已還"))</f>
        <v>已還</v>
      </c>
    </row>
    <row r="433" customFormat="false" ht="15" hidden="false" customHeight="false" outlineLevel="0" collapsed="false">
      <c r="A433" s="7" t="s">
        <v>97</v>
      </c>
      <c r="B433" s="7" t="s">
        <v>150</v>
      </c>
      <c r="C433" s="8" t="n">
        <v>45976</v>
      </c>
      <c r="D433" s="8" t="n">
        <v>45990</v>
      </c>
      <c r="E433" s="9" t="str">
        <f aca="false">IF($B433="","",IFERROR(INDEX(書籍!$B$2:$B$2000,MATCH($B433,書籍!$A$2:$A$2000,0)),"（沒建檔）"))</f>
        <v>第七號地圖</v>
      </c>
      <c r="F433" s="9" t="str">
        <f aca="false">IF($A433="","",IFERROR(INDEX(會員!$B$2:$B$2000,MATCH($A433,會員!$A$2:$A$2000,0)),"（沒建檔）"))</f>
        <v>廖品妍</v>
      </c>
      <c r="G433" s="10" t="str">
        <f aca="false">IF($B433="","",IF($D433="","未還","已還"))</f>
        <v>已還</v>
      </c>
    </row>
    <row r="434" customFormat="false" ht="15" hidden="false" customHeight="false" outlineLevel="0" collapsed="false">
      <c r="A434" s="7" t="s">
        <v>77</v>
      </c>
      <c r="B434" s="7" t="s">
        <v>128</v>
      </c>
      <c r="C434" s="8" t="n">
        <v>45977</v>
      </c>
      <c r="D434" s="8" t="n">
        <v>45990</v>
      </c>
      <c r="E434" s="9" t="str">
        <f aca="false">IF($B434="","",IFERROR(INDEX(書籍!$B$2:$B$2000,MATCH($B434,書籍!$A$2:$A$2000,0)),"（沒建檔）"))</f>
        <v>地下室夏天</v>
      </c>
      <c r="F434" s="9" t="str">
        <f aca="false">IF($A434="","",IFERROR(INDEX(會員!$B$2:$B$2000,MATCH($A434,會員!$A$2:$A$2000,0)),"（沒建檔）"))</f>
        <v>吳柏翰</v>
      </c>
      <c r="G434" s="10" t="str">
        <f aca="false">IF($B434="","",IF($D434="","未還","已還"))</f>
        <v>已還</v>
      </c>
    </row>
    <row r="435" customFormat="false" ht="15" hidden="false" customHeight="false" outlineLevel="0" collapsed="false">
      <c r="A435" s="7" t="s">
        <v>122</v>
      </c>
      <c r="B435" s="7" t="s">
        <v>114</v>
      </c>
      <c r="C435" s="8" t="n">
        <v>45977</v>
      </c>
      <c r="D435" s="8" t="n">
        <v>45980</v>
      </c>
      <c r="E435" s="9" t="str">
        <f aca="false">IF($B435="","",IFERROR(INDEX(書籍!$B$2:$B$2000,MATCH($B435,書籍!$A$2:$A$2000,0)),"（沒建檔）"))</f>
        <v>漫長的偵探</v>
      </c>
      <c r="F435" s="9" t="str">
        <f aca="false">IF($A435="","",IFERROR(INDEX(會員!$B$2:$B$2000,MATCH($A435,會員!$A$2:$A$2000,0)),"（沒建檔）"))</f>
        <v>周彥廷</v>
      </c>
      <c r="G435" s="10" t="str">
        <f aca="false">IF($B435="","",IF($D435="","未還","已還"))</f>
        <v>已還</v>
      </c>
    </row>
    <row r="436" customFormat="false" ht="15" hidden="false" customHeight="false" outlineLevel="0" collapsed="false">
      <c r="A436" s="7" t="s">
        <v>113</v>
      </c>
      <c r="B436" s="7" t="s">
        <v>41</v>
      </c>
      <c r="C436" s="8" t="n">
        <v>45978</v>
      </c>
      <c r="D436" s="8" t="n">
        <v>46006</v>
      </c>
      <c r="E436" s="9" t="str">
        <f aca="false">IF($B436="","",IFERROR(INDEX(書籍!$B$2:$B$2000,MATCH($B436,書籍!$A$2:$A$2000,0)),"（沒建檔）"))</f>
        <v>轉角夏天</v>
      </c>
      <c r="F436" s="9" t="str">
        <f aca="false">IF($A436="","",IFERROR(INDEX(會員!$B$2:$B$2000,MATCH($A436,會員!$A$2:$A$2000,0)),"（沒建檔）"))</f>
        <v>謝子涵</v>
      </c>
      <c r="G436" s="10" t="str">
        <f aca="false">IF($B436="","",IF($D436="","未還","已還"))</f>
        <v>已還</v>
      </c>
    </row>
    <row r="437" customFormat="false" ht="15" hidden="false" customHeight="false" outlineLevel="0" collapsed="false">
      <c r="A437" s="7" t="s">
        <v>107</v>
      </c>
      <c r="B437" s="7" t="s">
        <v>48</v>
      </c>
      <c r="C437" s="8" t="n">
        <v>45978</v>
      </c>
      <c r="D437" s="8"/>
      <c r="E437" s="9" t="str">
        <f aca="false">IF($B437="","",IFERROR(INDEX(書籍!$B$2:$B$2000,MATCH($B437,書籍!$A$2:$A$2000,0)),"（沒建檔）"))</f>
        <v>月球燈塔</v>
      </c>
      <c r="F437" s="9" t="str">
        <f aca="false">IF($A437="","",IFERROR(INDEX(會員!$B$2:$B$2000,MATCH($A437,會員!$A$2:$A$2000,0)),"（沒建檔）"))</f>
        <v>陳祐誠</v>
      </c>
      <c r="G437" s="10" t="str">
        <f aca="false">IF($B437="","",IF($D437="","未還","已還"))</f>
        <v>未還</v>
      </c>
    </row>
    <row r="438" customFormat="false" ht="15" hidden="false" customHeight="false" outlineLevel="0" collapsed="false">
      <c r="A438" s="7" t="s">
        <v>77</v>
      </c>
      <c r="B438" s="7" t="s">
        <v>83</v>
      </c>
      <c r="C438" s="8" t="n">
        <v>45978</v>
      </c>
      <c r="D438" s="8" t="n">
        <v>45998</v>
      </c>
      <c r="E438" s="9" t="str">
        <f aca="false">IF($B438="","",IFERROR(INDEX(書籍!$B$2:$B$2000,MATCH($B438,書籍!$A$2:$A$2000,0)),"（沒建檔）"))</f>
        <v>北方信</v>
      </c>
      <c r="F438" s="9" t="str">
        <f aca="false">IF($A438="","",IFERROR(INDEX(會員!$B$2:$B$2000,MATCH($A438,會員!$A$2:$A$2000,0)),"（沒建檔）"))</f>
        <v>吳柏翰</v>
      </c>
      <c r="G438" s="10" t="str">
        <f aca="false">IF($B438="","",IF($D438="","未還","已還"))</f>
        <v>已還</v>
      </c>
    </row>
    <row r="439" customFormat="false" ht="15" hidden="false" customHeight="false" outlineLevel="0" collapsed="false">
      <c r="A439" s="7" t="s">
        <v>161</v>
      </c>
      <c r="B439" s="7" t="s">
        <v>149</v>
      </c>
      <c r="C439" s="8" t="n">
        <v>45979</v>
      </c>
      <c r="D439" s="8" t="n">
        <v>45986</v>
      </c>
      <c r="E439" s="9" t="str">
        <f aca="false">IF($B439="","",IFERROR(INDEX(書籍!$B$2:$B$2000,MATCH($B439,書籍!$A$2:$A$2000,0)),"（沒建檔）"))</f>
        <v>會說話的貓</v>
      </c>
      <c r="F439" s="9" t="str">
        <f aca="false">IF($A439="","",IFERROR(INDEX(會員!$B$2:$B$2000,MATCH($A439,會員!$A$2:$A$2000,0)),"（沒建檔）"))</f>
        <v>吳彥廷</v>
      </c>
      <c r="G439" s="10" t="str">
        <f aca="false">IF($B439="","",IF($D439="","未還","已還"))</f>
        <v>已還</v>
      </c>
    </row>
    <row r="440" customFormat="false" ht="15" hidden="false" customHeight="false" outlineLevel="0" collapsed="false">
      <c r="A440" s="7" t="s">
        <v>22</v>
      </c>
      <c r="B440" s="7" t="s">
        <v>65</v>
      </c>
      <c r="C440" s="8" t="n">
        <v>45980</v>
      </c>
      <c r="D440" s="8" t="n">
        <v>45999</v>
      </c>
      <c r="E440" s="9" t="str">
        <f aca="false">IF($B440="","",IFERROR(INDEX(書籍!$B$2:$B$2000,MATCH($B440,書籍!$A$2:$A$2000,0)),"（沒建檔）"))</f>
        <v>深夜的季節</v>
      </c>
      <c r="F440" s="9" t="str">
        <f aca="false">IF($A440="","",IFERROR(INDEX(會員!$B$2:$B$2000,MATCH($A440,會員!$A$2:$A$2000,0)),"（沒建檔）"))</f>
        <v>王思妤</v>
      </c>
      <c r="G440" s="10" t="str">
        <f aca="false">IF($B440="","",IF($D440="","未還","已還"))</f>
        <v>已還</v>
      </c>
    </row>
    <row r="441" customFormat="false" ht="15" hidden="false" customHeight="false" outlineLevel="0" collapsed="false">
      <c r="A441" s="7" t="s">
        <v>160</v>
      </c>
      <c r="B441" s="7" t="s">
        <v>155</v>
      </c>
      <c r="C441" s="8" t="n">
        <v>45981</v>
      </c>
      <c r="D441" s="8" t="n">
        <v>45999</v>
      </c>
      <c r="E441" s="9" t="str">
        <f aca="false">IF($B441="","",IFERROR(INDEX(書籍!$B$2:$B$2000,MATCH($B441,書籍!$A$2:$A$2000,0)),"（沒建檔）"))</f>
        <v>海邊的季節</v>
      </c>
      <c r="F441" s="9" t="str">
        <f aca="false">IF($A441="","",IFERROR(INDEX(會員!$B$2:$B$2000,MATCH($A441,會員!$A$2:$A$2000,0)),"（沒建檔）"))</f>
        <v>張季軒</v>
      </c>
      <c r="G441" s="10" t="str">
        <f aca="false">IF($B441="","",IF($D441="","未還","已還"))</f>
        <v>已還</v>
      </c>
    </row>
    <row r="442" customFormat="false" ht="15" hidden="false" customHeight="false" outlineLevel="0" collapsed="false">
      <c r="A442" s="7" t="s">
        <v>99</v>
      </c>
      <c r="B442" s="7" t="s">
        <v>140</v>
      </c>
      <c r="C442" s="8" t="n">
        <v>45982</v>
      </c>
      <c r="D442" s="8"/>
      <c r="E442" s="9" t="str">
        <f aca="false">IF($B442="","",IFERROR(INDEX(書籍!$B$2:$B$2000,MATCH($B442,書籍!$A$2:$A$2000,0)),"（沒建檔）"))</f>
        <v>紙上的手記</v>
      </c>
      <c r="F442" s="9" t="str">
        <f aca="false">IF($A442="","",IFERROR(INDEX(會員!$B$2:$B$2000,MATCH($A442,會員!$A$2:$A$2000,0)),"（沒建檔）"))</f>
        <v>王芷萱</v>
      </c>
      <c r="G442" s="10" t="str">
        <f aca="false">IF($B442="","",IF($D442="","未還","已還"))</f>
        <v>未還</v>
      </c>
    </row>
    <row r="443" customFormat="false" ht="15" hidden="false" customHeight="false" outlineLevel="0" collapsed="false">
      <c r="A443" s="7" t="s">
        <v>80</v>
      </c>
      <c r="B443" s="7" t="s">
        <v>125</v>
      </c>
      <c r="C443" s="8" t="n">
        <v>45982</v>
      </c>
      <c r="D443" s="8"/>
      <c r="E443" s="9" t="str">
        <f aca="false">IF($B443="","",IFERROR(INDEX(書籍!$B$2:$B$2000,MATCH($B443,書籍!$A$2:$A$2000,0)),"（沒建檔）"))</f>
        <v>會說話的夏天</v>
      </c>
      <c r="F443" s="9" t="str">
        <f aca="false">IF($A443="","",IFERROR(INDEX(會員!$B$2:$B$2000,MATCH($A443,會員!$A$2:$A$2000,0)),"（沒建檔）"))</f>
        <v>洪詠晴</v>
      </c>
      <c r="G443" s="10" t="str">
        <f aca="false">IF($B443="","",IF($D443="","未還","已還"))</f>
        <v>未還</v>
      </c>
    </row>
    <row r="444" customFormat="false" ht="15" hidden="false" customHeight="false" outlineLevel="0" collapsed="false">
      <c r="A444" s="7" t="s">
        <v>46</v>
      </c>
      <c r="B444" s="7" t="s">
        <v>159</v>
      </c>
      <c r="C444" s="8" t="n">
        <v>45983</v>
      </c>
      <c r="D444" s="8"/>
      <c r="E444" s="9" t="str">
        <f aca="false">IF($B444="","",IFERROR(INDEX(書籍!$B$2:$B$2000,MATCH($B444,書籍!$A$2:$A$2000,0)),"（沒建檔）"))</f>
        <v>半路上的郵差</v>
      </c>
      <c r="F444" s="9" t="str">
        <f aca="false">IF($A444="","",IFERROR(INDEX(會員!$B$2:$B$2000,MATCH($A444,會員!$A$2:$A$2000,0)),"（沒建檔）"))</f>
        <v>郭思妤</v>
      </c>
      <c r="G444" s="10" t="str">
        <f aca="false">IF($B444="","",IF($D444="","未還","已還"))</f>
        <v>未還</v>
      </c>
    </row>
    <row r="445" customFormat="false" ht="15" hidden="false" customHeight="false" outlineLevel="0" collapsed="false">
      <c r="A445" s="7" t="s">
        <v>26</v>
      </c>
      <c r="B445" s="7" t="s">
        <v>53</v>
      </c>
      <c r="C445" s="8" t="n">
        <v>45983</v>
      </c>
      <c r="D445" s="8" t="n">
        <v>45989</v>
      </c>
      <c r="E445" s="9" t="str">
        <f aca="false">IF($B445="","",IFERROR(INDEX(書籍!$B$2:$B$2000,MATCH($B445,書籍!$A$2:$A$2000,0)),"（沒建檔）"))</f>
        <v>看不見的鐘樓</v>
      </c>
      <c r="F445" s="9" t="str">
        <f aca="false">IF($A445="","",IFERROR(INDEX(會員!$B$2:$B$2000,MATCH($A445,會員!$A$2:$A$2000,0)),"（沒建檔）"))</f>
        <v>曾淑芬</v>
      </c>
      <c r="G445" s="10" t="str">
        <f aca="false">IF($B445="","",IF($D445="","未還","已還"))</f>
        <v>已還</v>
      </c>
    </row>
    <row r="446" customFormat="false" ht="15" hidden="false" customHeight="false" outlineLevel="0" collapsed="false">
      <c r="A446" s="7" t="s">
        <v>46</v>
      </c>
      <c r="B446" s="7" t="s">
        <v>29</v>
      </c>
      <c r="C446" s="8" t="n">
        <v>45983</v>
      </c>
      <c r="D446" s="8" t="n">
        <v>46005</v>
      </c>
      <c r="E446" s="9" t="str">
        <f aca="false">IF($B446="","",IFERROR(INDEX(書籍!$B$2:$B$2000,MATCH($B446,書籍!$A$2:$A$2000,0)),"（沒建檔）"))</f>
        <v>十二個廚房</v>
      </c>
      <c r="F446" s="9" t="str">
        <f aca="false">IF($A446="","",IFERROR(INDEX(會員!$B$2:$B$2000,MATCH($A446,會員!$A$2:$A$2000,0)),"（沒建檔）"))</f>
        <v>郭思妤</v>
      </c>
      <c r="G446" s="10" t="str">
        <f aca="false">IF($B446="","",IF($D446="","未還","已還"))</f>
        <v>已還</v>
      </c>
    </row>
    <row r="447" customFormat="false" ht="15" hidden="false" customHeight="false" outlineLevel="0" collapsed="false">
      <c r="A447" s="7" t="s">
        <v>80</v>
      </c>
      <c r="B447" s="7" t="s">
        <v>111</v>
      </c>
      <c r="C447" s="8" t="n">
        <v>45983</v>
      </c>
      <c r="D447" s="8" t="n">
        <v>45999</v>
      </c>
      <c r="E447" s="9" t="str">
        <f aca="false">IF($B447="","",IFERROR(INDEX(書籍!$B$2:$B$2000,MATCH($B447,書籍!$A$2:$A$2000,0)),"（沒建檔）"))</f>
        <v>雨中燈塔</v>
      </c>
      <c r="F447" s="9" t="str">
        <f aca="false">IF($A447="","",IFERROR(INDEX(會員!$B$2:$B$2000,MATCH($A447,會員!$A$2:$A$2000,0)),"（沒建檔）"))</f>
        <v>洪詠晴</v>
      </c>
      <c r="G447" s="10" t="str">
        <f aca="false">IF($B447="","",IF($D447="","未還","已還"))</f>
        <v>已還</v>
      </c>
    </row>
    <row r="448" customFormat="false" ht="15" hidden="false" customHeight="false" outlineLevel="0" collapsed="false">
      <c r="A448" s="7" t="s">
        <v>66</v>
      </c>
      <c r="B448" s="7" t="s">
        <v>84</v>
      </c>
      <c r="C448" s="8" t="n">
        <v>45984</v>
      </c>
      <c r="D448" s="8" t="n">
        <v>46010</v>
      </c>
      <c r="E448" s="9" t="str">
        <f aca="false">IF($B448="","",IFERROR(INDEX(書籍!$B$2:$B$2000,MATCH($B448,書籍!$A$2:$A$2000,0)),"（沒建檔）"))</f>
        <v>微小的郵差</v>
      </c>
      <c r="F448" s="9" t="str">
        <f aca="false">IF($A448="","",IFERROR(INDEX(會員!$B$2:$B$2000,MATCH($A448,會員!$A$2:$A$2000,0)),"（沒建檔）"))</f>
        <v>郭柏翰</v>
      </c>
      <c r="G448" s="10" t="str">
        <f aca="false">IF($B448="","",IF($D448="","未還","已還"))</f>
        <v>已還</v>
      </c>
    </row>
    <row r="449" customFormat="false" ht="15" hidden="false" customHeight="false" outlineLevel="0" collapsed="false">
      <c r="A449" s="7" t="s">
        <v>113</v>
      </c>
      <c r="B449" s="7" t="s">
        <v>91</v>
      </c>
      <c r="C449" s="8" t="n">
        <v>45984</v>
      </c>
      <c r="D449" s="8" t="n">
        <v>45994</v>
      </c>
      <c r="E449" s="9" t="str">
        <f aca="false">IF($B449="","",IFERROR(INDEX(書籍!$B$2:$B$2000,MATCH($B449,書籍!$A$2:$A$2000,0)),"（沒建檔）"))</f>
        <v>最後一個偵探</v>
      </c>
      <c r="F449" s="9" t="str">
        <f aca="false">IF($A449="","",IFERROR(INDEX(會員!$B$2:$B$2000,MATCH($A449,會員!$A$2:$A$2000,0)),"（沒建檔）"))</f>
        <v>謝子涵</v>
      </c>
      <c r="G449" s="10" t="str">
        <f aca="false">IF($B449="","",IF($D449="","未還","已還"))</f>
        <v>已還</v>
      </c>
    </row>
    <row r="450" customFormat="false" ht="15" hidden="false" customHeight="false" outlineLevel="0" collapsed="false">
      <c r="A450" s="7" t="s">
        <v>63</v>
      </c>
      <c r="B450" s="7" t="s">
        <v>45</v>
      </c>
      <c r="C450" s="8" t="n">
        <v>45984</v>
      </c>
      <c r="D450" s="8" t="n">
        <v>45986</v>
      </c>
      <c r="E450" s="9" t="str">
        <f aca="false">IF($B450="","",IFERROR(INDEX(書籍!$B$2:$B$2000,MATCH($B450,書籍!$A$2:$A$2000,0)),"（沒建檔）"))</f>
        <v>深夜的島</v>
      </c>
      <c r="F450" s="9" t="str">
        <f aca="false">IF($A450="","",IFERROR(INDEX(會員!$B$2:$B$2000,MATCH($A450,會員!$A$2:$A$2000,0)),"（沒建檔）"))</f>
        <v>陳祐誠</v>
      </c>
      <c r="G450" s="10" t="str">
        <f aca="false">IF($B450="","",IF($D450="","未還","已還"))</f>
        <v>已還</v>
      </c>
    </row>
    <row r="451" customFormat="false" ht="15" hidden="false" customHeight="false" outlineLevel="0" collapsed="false">
      <c r="A451" s="7" t="s">
        <v>107</v>
      </c>
      <c r="B451" s="7" t="s">
        <v>90</v>
      </c>
      <c r="C451" s="8" t="n">
        <v>45986</v>
      </c>
      <c r="D451" s="8" t="n">
        <v>46009</v>
      </c>
      <c r="E451" s="9" t="str">
        <f aca="false">IF($B451="","",IFERROR(INDEX(書籍!$B$2:$B$2000,MATCH($B451,書籍!$A$2:$A$2000,0)),"（沒建檔）"))</f>
        <v>漫長的書店</v>
      </c>
      <c r="F451" s="9" t="str">
        <f aca="false">IF($A451="","",IFERROR(INDEX(會員!$B$2:$B$2000,MATCH($A451,會員!$A$2:$A$2000,0)),"（沒建檔）"))</f>
        <v>陳祐誠</v>
      </c>
      <c r="G451" s="10" t="str">
        <f aca="false">IF($B451="","",IF($D451="","未還","已還"))</f>
        <v>已還</v>
      </c>
    </row>
    <row r="452" customFormat="false" ht="15" hidden="false" customHeight="false" outlineLevel="0" collapsed="false">
      <c r="A452" s="7" t="s">
        <v>63</v>
      </c>
      <c r="B452" s="7" t="s">
        <v>82</v>
      </c>
      <c r="C452" s="8" t="n">
        <v>45986</v>
      </c>
      <c r="D452" s="8" t="n">
        <v>46016</v>
      </c>
      <c r="E452" s="9" t="str">
        <f aca="false">IF($B452="","",IFERROR(INDEX(書籍!$B$2:$B$2000,MATCH($B452,書籍!$A$2:$A$2000,0)),"（沒建檔）"))</f>
        <v>藍色手記</v>
      </c>
      <c r="F452" s="9" t="str">
        <f aca="false">IF($A452="","",IFERROR(INDEX(會員!$B$2:$B$2000,MATCH($A452,會員!$A$2:$A$2000,0)),"（沒建檔）"))</f>
        <v>陳祐誠</v>
      </c>
      <c r="G452" s="10" t="str">
        <f aca="false">IF($B452="","",IF($D452="","未還","已還"))</f>
        <v>已還</v>
      </c>
    </row>
    <row r="453" customFormat="false" ht="15" hidden="false" customHeight="false" outlineLevel="0" collapsed="false">
      <c r="A453" s="7" t="s">
        <v>87</v>
      </c>
      <c r="B453" s="7" t="s">
        <v>117</v>
      </c>
      <c r="C453" s="8" t="n">
        <v>45987</v>
      </c>
      <c r="D453" s="8" t="n">
        <v>46005</v>
      </c>
      <c r="E453" s="9" t="str">
        <f aca="false">IF($B453="","",IFERROR(INDEX(書籍!$B$2:$B$2000,MATCH($B453,書籍!$A$2:$A$2000,0)),"（沒建檔）"))</f>
        <v>兩個人的偵探</v>
      </c>
      <c r="F453" s="9" t="str">
        <f aca="false">IF($A453="","",IFERROR(INDEX(會員!$B$2:$B$2000,MATCH($A453,會員!$A$2:$A$2000,0)),"（沒建檔）"))</f>
        <v>楊芷萱</v>
      </c>
      <c r="G453" s="10" t="str">
        <f aca="false">IF($B453="","",IF($D453="","未還","已還"))</f>
        <v>已還</v>
      </c>
    </row>
    <row r="454" customFormat="false" ht="15" hidden="false" customHeight="false" outlineLevel="0" collapsed="false">
      <c r="A454" s="7" t="s">
        <v>34</v>
      </c>
      <c r="B454" s="7" t="s">
        <v>59</v>
      </c>
      <c r="C454" s="8" t="n">
        <v>45988</v>
      </c>
      <c r="D454" s="8"/>
      <c r="E454" s="9" t="str">
        <f aca="false">IF($B454="","",IFERROR(INDEX(書籍!$B$2:$B$2000,MATCH($B454,書籍!$A$2:$A$2000,0)),"（沒建檔）"))</f>
        <v>月球回信</v>
      </c>
      <c r="F454" s="9" t="str">
        <f aca="false">IF($A454="","",IFERROR(INDEX(會員!$B$2:$B$2000,MATCH($A454,會員!$A$2:$A$2000,0)),"（沒建檔）"))</f>
        <v>蔡彥廷</v>
      </c>
      <c r="G454" s="10" t="str">
        <f aca="false">IF($B454="","",IF($D454="","未還","已還"))</f>
        <v>未還</v>
      </c>
    </row>
    <row r="455" customFormat="false" ht="15" hidden="false" customHeight="false" outlineLevel="0" collapsed="false">
      <c r="A455" s="7" t="s">
        <v>107</v>
      </c>
      <c r="B455" s="7" t="s">
        <v>62</v>
      </c>
      <c r="C455" s="8" t="n">
        <v>45988</v>
      </c>
      <c r="D455" s="8"/>
      <c r="E455" s="9" t="str">
        <f aca="false">IF($B455="","",IFERROR(INDEX(書籍!$B$2:$B$2000,MATCH($B455,書籍!$A$2:$A$2000,0)),"（沒建檔）"))</f>
        <v>海邊的貓</v>
      </c>
      <c r="F455" s="9" t="str">
        <f aca="false">IF($A455="","",IFERROR(INDEX(會員!$B$2:$B$2000,MATCH($A455,會員!$A$2:$A$2000,0)),"（沒建檔）"))</f>
        <v>陳祐誠</v>
      </c>
      <c r="G455" s="10" t="str">
        <f aca="false">IF($B455="","",IF($D455="","未還","已還"))</f>
        <v>未還</v>
      </c>
    </row>
    <row r="456" customFormat="false" ht="15" hidden="false" customHeight="false" outlineLevel="0" collapsed="false">
      <c r="A456" s="7" t="s">
        <v>93</v>
      </c>
      <c r="B456" s="7" t="s">
        <v>134</v>
      </c>
      <c r="C456" s="8" t="n">
        <v>45988</v>
      </c>
      <c r="D456" s="8" t="n">
        <v>45991</v>
      </c>
      <c r="E456" s="9" t="str">
        <f aca="false">IF($B456="","",IFERROR(INDEX(書籍!$B$2:$B$2000,MATCH($B456,書籍!$A$2:$A$2000,0)),"（沒建檔）"))</f>
        <v>紙上的鋼琴師</v>
      </c>
      <c r="F456" s="9" t="str">
        <f aca="false">IF($A456="","",IFERROR(INDEX(會員!$B$2:$B$2000,MATCH($A456,會員!$A$2:$A$2000,0)),"（沒建檔）"))</f>
        <v>邱沐恩</v>
      </c>
      <c r="G456" s="10" t="str">
        <f aca="false">IF($B456="","",IF($D456="","未還","已還"))</f>
        <v>已還</v>
      </c>
    </row>
    <row r="457" customFormat="false" ht="15" hidden="false" customHeight="false" outlineLevel="0" collapsed="false">
      <c r="A457" s="7" t="s">
        <v>34</v>
      </c>
      <c r="B457" s="7" t="s">
        <v>45</v>
      </c>
      <c r="C457" s="8" t="n">
        <v>45989</v>
      </c>
      <c r="D457" s="8" t="n">
        <v>46004</v>
      </c>
      <c r="E457" s="9" t="str">
        <f aca="false">IF($B457="","",IFERROR(INDEX(書籍!$B$2:$B$2000,MATCH($B457,書籍!$A$2:$A$2000,0)),"（沒建檔）"))</f>
        <v>深夜的島</v>
      </c>
      <c r="F457" s="9" t="str">
        <f aca="false">IF($A457="","",IFERROR(INDEX(會員!$B$2:$B$2000,MATCH($A457,會員!$A$2:$A$2000,0)),"（沒建檔）"))</f>
        <v>蔡彥廷</v>
      </c>
      <c r="G457" s="10" t="str">
        <f aca="false">IF($B457="","",IF($D457="","未還","已還"))</f>
        <v>已還</v>
      </c>
    </row>
    <row r="458" customFormat="false" ht="15" hidden="false" customHeight="false" outlineLevel="0" collapsed="false">
      <c r="A458" s="7" t="s">
        <v>58</v>
      </c>
      <c r="B458" s="7" t="s">
        <v>156</v>
      </c>
      <c r="C458" s="8" t="n">
        <v>45990</v>
      </c>
      <c r="D458" s="8"/>
      <c r="E458" s="9" t="str">
        <f aca="false">IF($B458="","",IFERROR(INDEX(書籍!$B$2:$B$2000,MATCH($B458,書籍!$A$2:$A$2000,0)),"（沒建檔）"))</f>
        <v>小鎮河</v>
      </c>
      <c r="F458" s="9" t="str">
        <f aca="false">IF($A458="","",IFERROR(INDEX(會員!$B$2:$B$2000,MATCH($A458,會員!$A$2:$A$2000,0)),"（沒建檔）"))</f>
        <v>賴思妤</v>
      </c>
      <c r="G458" s="10" t="str">
        <f aca="false">IF($B458="","",IF($D458="","未還","已還"))</f>
        <v>未還</v>
      </c>
    </row>
    <row r="459" customFormat="false" ht="15" hidden="false" customHeight="false" outlineLevel="0" collapsed="false">
      <c r="A459" s="7" t="s">
        <v>49</v>
      </c>
      <c r="B459" s="7" t="s">
        <v>35</v>
      </c>
      <c r="C459" s="8" t="n">
        <v>45990</v>
      </c>
      <c r="D459" s="8" t="n">
        <v>46005</v>
      </c>
      <c r="E459" s="9" t="str">
        <f aca="false">IF($B459="","",IFERROR(INDEX(書籍!$B$2:$B$2000,MATCH($B459,書籍!$A$2:$A$2000,0)),"（沒建檔）"))</f>
        <v>半路上的祕密</v>
      </c>
      <c r="F459" s="9" t="str">
        <f aca="false">IF($A459="","",IFERROR(INDEX(會員!$B$2:$B$2000,MATCH($A459,會員!$A$2:$A$2000,0)),"（沒建檔）"))</f>
        <v>張宜庭</v>
      </c>
      <c r="G459" s="10" t="str">
        <f aca="false">IF($B459="","",IF($D459="","未還","已還"))</f>
        <v>已還</v>
      </c>
    </row>
    <row r="460" customFormat="false" ht="15" hidden="false" customHeight="false" outlineLevel="0" collapsed="false">
      <c r="A460" s="7" t="s">
        <v>107</v>
      </c>
      <c r="B460" s="7" t="s">
        <v>136</v>
      </c>
      <c r="C460" s="8" t="n">
        <v>45990</v>
      </c>
      <c r="D460" s="8" t="n">
        <v>46005</v>
      </c>
      <c r="E460" s="9" t="str">
        <f aca="false">IF($B460="","",IFERROR(INDEX(書籍!$B$2:$B$2000,MATCH($B460,書籍!$A$2:$A$2000,0)),"（沒建檔）"))</f>
        <v>海邊的廚房</v>
      </c>
      <c r="F460" s="9" t="str">
        <f aca="false">IF($A460="","",IFERROR(INDEX(會員!$B$2:$B$2000,MATCH($A460,會員!$A$2:$A$2000,0)),"（沒建檔）"))</f>
        <v>陳祐誠</v>
      </c>
      <c r="G460" s="10" t="str">
        <f aca="false">IF($B460="","",IF($D460="","未還","已還"))</f>
        <v>已還</v>
      </c>
    </row>
    <row r="461" customFormat="false" ht="15" hidden="false" customHeight="false" outlineLevel="0" collapsed="false">
      <c r="A461" s="7" t="s">
        <v>95</v>
      </c>
      <c r="B461" s="7" t="s">
        <v>52</v>
      </c>
      <c r="C461" s="8" t="n">
        <v>45991</v>
      </c>
      <c r="D461" s="8" t="n">
        <v>46017</v>
      </c>
      <c r="E461" s="9" t="str">
        <f aca="false">IF($B461="","",IFERROR(INDEX(書籍!$B$2:$B$2000,MATCH($B461,書籍!$A$2:$A$2000,0)),"（沒建檔）"))</f>
        <v>十二個河</v>
      </c>
      <c r="F461" s="9" t="str">
        <f aca="false">IF($A461="","",IFERROR(INDEX(會員!$B$2:$B$2000,MATCH($A461,會員!$A$2:$A$2000,0)),"（沒建檔）"))</f>
        <v>邱承翰</v>
      </c>
      <c r="G461" s="10" t="str">
        <f aca="false">IF($B461="","",IF($D461="","未還","已還"))</f>
        <v>已還</v>
      </c>
    </row>
    <row r="462" customFormat="false" ht="15" hidden="false" customHeight="false" outlineLevel="0" collapsed="false">
      <c r="A462" s="7" t="s">
        <v>60</v>
      </c>
      <c r="B462" s="7" t="s">
        <v>94</v>
      </c>
      <c r="C462" s="8" t="n">
        <v>45991</v>
      </c>
      <c r="D462" s="8"/>
      <c r="E462" s="9" t="str">
        <f aca="false">IF($B462="","",IFERROR(INDEX(書籍!$B$2:$B$2000,MATCH($B462,書籍!$A$2:$A$2000,0)),"（沒建檔）"))</f>
        <v>藍色咖啡館</v>
      </c>
      <c r="F462" s="9" t="str">
        <f aca="false">IF($A462="","",IFERROR(INDEX(會員!$B$2:$B$2000,MATCH($A462,會員!$A$2:$A$2000,0)),"（沒建檔）"))</f>
        <v>李怡君</v>
      </c>
      <c r="G462" s="10" t="str">
        <f aca="false">IF($B462="","",IF($D462="","未還","已還"))</f>
        <v>未還</v>
      </c>
    </row>
    <row r="463" customFormat="false" ht="15" hidden="false" customHeight="false" outlineLevel="0" collapsed="false">
      <c r="A463" s="7" t="s">
        <v>34</v>
      </c>
      <c r="B463" s="7" t="s">
        <v>38</v>
      </c>
      <c r="C463" s="8" t="n">
        <v>45991</v>
      </c>
      <c r="D463" s="8"/>
      <c r="E463" s="9" t="str">
        <f aca="false">IF($B463="","",IFERROR(INDEX(書籍!$B$2:$B$2000,MATCH($B463,書籍!$A$2:$A$2000,0)),"（沒建檔）"))</f>
        <v>小鎮森林</v>
      </c>
      <c r="F463" s="9" t="str">
        <f aca="false">IF($A463="","",IFERROR(INDEX(會員!$B$2:$B$2000,MATCH($A463,會員!$A$2:$A$2000,0)),"（沒建檔）"))</f>
        <v>蔡彥廷</v>
      </c>
      <c r="G463" s="10" t="str">
        <f aca="false">IF($B463="","",IF($D463="","未還","已還"))</f>
        <v>未還</v>
      </c>
    </row>
    <row r="464" customFormat="false" ht="15" hidden="false" customHeight="false" outlineLevel="0" collapsed="false">
      <c r="A464" s="7" t="s">
        <v>26</v>
      </c>
      <c r="B464" s="7" t="s">
        <v>112</v>
      </c>
      <c r="C464" s="8" t="n">
        <v>45992</v>
      </c>
      <c r="D464" s="8" t="n">
        <v>46012</v>
      </c>
      <c r="E464" s="9" t="str">
        <f aca="false">IF($B464="","",IFERROR(INDEX(書籍!$B$2:$B$2000,MATCH($B464,書籍!$A$2:$A$2000,0)),"（沒建檔）"))</f>
        <v>圖書館地圖</v>
      </c>
      <c r="F464" s="9" t="str">
        <f aca="false">IF($A464="","",IFERROR(INDEX(會員!$B$2:$B$2000,MATCH($A464,會員!$A$2:$A$2000,0)),"（沒建檔）"))</f>
        <v>曾淑芬</v>
      </c>
      <c r="G464" s="10" t="str">
        <f aca="false">IF($B464="","",IF($D464="","未還","已還"))</f>
        <v>已還</v>
      </c>
    </row>
    <row r="465" customFormat="false" ht="15" hidden="false" customHeight="false" outlineLevel="0" collapsed="false">
      <c r="A465" s="7" t="s">
        <v>34</v>
      </c>
      <c r="B465" s="7" t="s">
        <v>143</v>
      </c>
      <c r="C465" s="8" t="n">
        <v>45993</v>
      </c>
      <c r="D465" s="8" t="n">
        <v>46005</v>
      </c>
      <c r="E465" s="9" t="str">
        <f aca="false">IF($B465="","",IFERROR(INDEX(書籍!$B$2:$B$2000,MATCH($B465,書籍!$A$2:$A$2000,0)),"（沒建檔）"))</f>
        <v>月球花園</v>
      </c>
      <c r="F465" s="9" t="str">
        <f aca="false">IF($A465="","",IFERROR(INDEX(會員!$B$2:$B$2000,MATCH($A465,會員!$A$2:$A$2000,0)),"（沒建檔）"))</f>
        <v>蔡彥廷</v>
      </c>
      <c r="G465" s="10" t="str">
        <f aca="false">IF($B465="","",IF($D465="","未還","已還"))</f>
        <v>已還</v>
      </c>
    </row>
    <row r="466" customFormat="false" ht="15" hidden="false" customHeight="false" outlineLevel="0" collapsed="false">
      <c r="A466" s="7" t="s">
        <v>30</v>
      </c>
      <c r="B466" s="7" t="s">
        <v>105</v>
      </c>
      <c r="C466" s="8" t="n">
        <v>45993</v>
      </c>
      <c r="D466" s="8"/>
      <c r="E466" s="9" t="str">
        <f aca="false">IF($B466="","",IFERROR(INDEX(書籍!$B$2:$B$2000,MATCH($B466,書籍!$A$2:$A$2000,0)),"（沒建檔）"))</f>
        <v>月球旅人</v>
      </c>
      <c r="F466" s="9" t="str">
        <f aca="false">IF($A466="","",IFERROR(INDEX(會員!$B$2:$B$2000,MATCH($A466,會員!$A$2:$A$2000,0)),"（沒建檔）"))</f>
        <v>吳芃穎</v>
      </c>
      <c r="G466" s="10" t="str">
        <f aca="false">IF($B466="","",IF($D466="","未還","已還"))</f>
        <v>未還</v>
      </c>
    </row>
    <row r="467" customFormat="false" ht="15" hidden="false" customHeight="false" outlineLevel="0" collapsed="false">
      <c r="A467" s="7" t="s">
        <v>154</v>
      </c>
      <c r="B467" s="7" t="s">
        <v>128</v>
      </c>
      <c r="C467" s="8" t="n">
        <v>45996</v>
      </c>
      <c r="D467" s="8" t="n">
        <v>45999</v>
      </c>
      <c r="E467" s="9" t="str">
        <f aca="false">IF($B467="","",IFERROR(INDEX(書籍!$B$2:$B$2000,MATCH($B467,書籍!$A$2:$A$2000,0)),"（沒建檔）"))</f>
        <v>地下室夏天</v>
      </c>
      <c r="F467" s="9" t="str">
        <f aca="false">IF($A467="","",IFERROR(INDEX(會員!$B$2:$B$2000,MATCH($A467,會員!$A$2:$A$2000,0)),"（沒建檔）"))</f>
        <v>陳雅婷</v>
      </c>
      <c r="G467" s="10" t="str">
        <f aca="false">IF($B467="","",IF($D467="","未還","已還"))</f>
        <v>已還</v>
      </c>
    </row>
    <row r="468" customFormat="false" ht="15" hidden="false" customHeight="false" outlineLevel="0" collapsed="false">
      <c r="A468" s="7" t="s">
        <v>160</v>
      </c>
      <c r="B468" s="7" t="s">
        <v>144</v>
      </c>
      <c r="C468" s="8" t="n">
        <v>45996</v>
      </c>
      <c r="D468" s="8" t="n">
        <v>46011</v>
      </c>
      <c r="E468" s="9" t="str">
        <f aca="false">IF($B468="","",IFERROR(INDEX(書籍!$B$2:$B$2000,MATCH($B468,書籍!$A$2:$A$2000,0)),"（沒建檔）"))</f>
        <v>小鎮偵探</v>
      </c>
      <c r="F468" s="9" t="str">
        <f aca="false">IF($A468="","",IFERROR(INDEX(會員!$B$2:$B$2000,MATCH($A468,會員!$A$2:$A$2000,0)),"（沒建檔）"))</f>
        <v>張季軒</v>
      </c>
      <c r="G468" s="10" t="str">
        <f aca="false">IF($B468="","",IF($D468="","未還","已還"))</f>
        <v>已還</v>
      </c>
    </row>
    <row r="469" customFormat="false" ht="15" hidden="false" customHeight="false" outlineLevel="0" collapsed="false">
      <c r="A469" s="7" t="s">
        <v>24</v>
      </c>
      <c r="B469" s="7" t="s">
        <v>138</v>
      </c>
      <c r="C469" s="8" t="n">
        <v>45996</v>
      </c>
      <c r="D469" s="8"/>
      <c r="E469" s="9" t="str">
        <f aca="false">IF($B469="","",IFERROR(INDEX(書籍!$B$2:$B$2000,MATCH($B469,書籍!$A$2:$A$2000,0)),"（沒建檔）"))</f>
        <v>沉默的鐘樓</v>
      </c>
      <c r="F469" s="9" t="str">
        <f aca="false">IF($A469="","",IFERROR(INDEX(會員!$B$2:$B$2000,MATCH($A469,會員!$A$2:$A$2000,0)),"（沒建檔）"))</f>
        <v>吳雅婷</v>
      </c>
      <c r="G469" s="10" t="str">
        <f aca="false">IF($B469="","",IF($D469="","未還","已還"))</f>
        <v>未還</v>
      </c>
    </row>
    <row r="470" customFormat="false" ht="15" hidden="false" customHeight="false" outlineLevel="0" collapsed="false">
      <c r="A470" s="7" t="s">
        <v>44</v>
      </c>
      <c r="B470" s="7" t="s">
        <v>150</v>
      </c>
      <c r="C470" s="8" t="n">
        <v>45997</v>
      </c>
      <c r="D470" s="8"/>
      <c r="E470" s="9" t="str">
        <f aca="false">IF($B470="","",IFERROR(INDEX(書籍!$B$2:$B$2000,MATCH($B470,書籍!$A$2:$A$2000,0)),"（沒建檔）"))</f>
        <v>第七號地圖</v>
      </c>
      <c r="F470" s="9" t="str">
        <f aca="false">IF($A470="","",IFERROR(INDEX(會員!$B$2:$B$2000,MATCH($A470,會員!$A$2:$A$2000,0)),"（沒建檔）"))</f>
        <v>郭柏翰</v>
      </c>
      <c r="G470" s="10" t="str">
        <f aca="false">IF($B470="","",IF($D470="","未還","已還"))</f>
        <v>未還</v>
      </c>
    </row>
    <row r="471" customFormat="false" ht="15" hidden="false" customHeight="false" outlineLevel="0" collapsed="false">
      <c r="A471" s="7" t="s">
        <v>42</v>
      </c>
      <c r="B471" s="7" t="s">
        <v>139</v>
      </c>
      <c r="C471" s="8" t="n">
        <v>45998</v>
      </c>
      <c r="D471" s="8" t="n">
        <v>46011</v>
      </c>
      <c r="E471" s="9" t="str">
        <f aca="false">IF($B471="","",IFERROR(INDEX(書籍!$B$2:$B$2000,MATCH($B471,書籍!$A$2:$A$2000,0)),"（沒建檔）"))</f>
        <v>十二個島</v>
      </c>
      <c r="F471" s="9" t="str">
        <f aca="false">IF($A471="","",IFERROR(INDEX(會員!$B$2:$B$2000,MATCH($A471,會員!$A$2:$A$2000,0)),"（沒建檔）"))</f>
        <v>蔡宜庭</v>
      </c>
      <c r="G471" s="10" t="str">
        <f aca="false">IF($B471="","",IF($D471="","未還","已還"))</f>
        <v>已還</v>
      </c>
    </row>
    <row r="472" customFormat="false" ht="15" hidden="false" customHeight="false" outlineLevel="0" collapsed="false">
      <c r="A472" s="7" t="s">
        <v>101</v>
      </c>
      <c r="B472" s="7" t="s">
        <v>106</v>
      </c>
      <c r="C472" s="8" t="n">
        <v>45998</v>
      </c>
      <c r="D472" s="8"/>
      <c r="E472" s="9" t="str">
        <f aca="false">IF($B472="","",IFERROR(INDEX(書籍!$B$2:$B$2000,MATCH($B472,書籍!$A$2:$A$2000,0)),"（沒建檔）"))</f>
        <v>轉角鋼琴師</v>
      </c>
      <c r="F472" s="9" t="str">
        <f aca="false">IF($A472="","",IFERROR(INDEX(會員!$B$2:$B$2000,MATCH($A472,會員!$A$2:$A$2000,0)),"（沒建檔）"))</f>
        <v>曾志明</v>
      </c>
      <c r="G472" s="10" t="str">
        <f aca="false">IF($B472="","",IF($D472="","未還","已還"))</f>
        <v>未還</v>
      </c>
    </row>
    <row r="473" customFormat="false" ht="15" hidden="false" customHeight="false" outlineLevel="0" collapsed="false">
      <c r="A473" s="7" t="s">
        <v>37</v>
      </c>
      <c r="B473" s="7" t="s">
        <v>141</v>
      </c>
      <c r="C473" s="8" t="n">
        <v>45998</v>
      </c>
      <c r="D473" s="8" t="n">
        <v>45999</v>
      </c>
      <c r="E473" s="9" t="str">
        <f aca="false">IF($B473="","",IFERROR(INDEX(書籍!$B$2:$B$2000,MATCH($B473,書籍!$A$2:$A$2000,0)),"（沒建檔）"))</f>
        <v>十二個書店</v>
      </c>
      <c r="F473" s="9" t="str">
        <f aca="false">IF($A473="","",IFERROR(INDEX(會員!$B$2:$B$2000,MATCH($A473,會員!$A$2:$A$2000,0)),"（沒建檔）"))</f>
        <v>郭芷萱</v>
      </c>
      <c r="G473" s="10" t="str">
        <f aca="false">IF($B473="","",IF($D473="","未還","已還"))</f>
        <v>已還</v>
      </c>
    </row>
    <row r="474" customFormat="false" ht="15" hidden="false" customHeight="false" outlineLevel="0" collapsed="false">
      <c r="A474" s="7" t="s">
        <v>46</v>
      </c>
      <c r="B474" s="7" t="s">
        <v>74</v>
      </c>
      <c r="C474" s="8" t="n">
        <v>46002</v>
      </c>
      <c r="D474" s="8"/>
      <c r="E474" s="9" t="str">
        <f aca="false">IF($B474="","",IFERROR(INDEX(書籍!$B$2:$B$2000,MATCH($B474,書籍!$A$2:$A$2000,0)),"（沒建檔）"))</f>
        <v>月球書店</v>
      </c>
      <c r="F474" s="9" t="str">
        <f aca="false">IF($A474="","",IFERROR(INDEX(會員!$B$2:$B$2000,MATCH($A474,會員!$A$2:$A$2000,0)),"（沒建檔）"))</f>
        <v>郭思妤</v>
      </c>
      <c r="G474" s="10" t="str">
        <f aca="false">IF($B474="","",IF($D474="","未還","已還"))</f>
        <v>未還</v>
      </c>
    </row>
    <row r="475" customFormat="false" ht="15" hidden="false" customHeight="false" outlineLevel="0" collapsed="false">
      <c r="A475" s="7" t="s">
        <v>56</v>
      </c>
      <c r="B475" s="7" t="s">
        <v>149</v>
      </c>
      <c r="C475" s="8" t="n">
        <v>46004</v>
      </c>
      <c r="D475" s="8"/>
      <c r="E475" s="9" t="str">
        <f aca="false">IF($B475="","",IFERROR(INDEX(書籍!$B$2:$B$2000,MATCH($B475,書籍!$A$2:$A$2000,0)),"（沒建檔）"))</f>
        <v>會說話的貓</v>
      </c>
      <c r="F475" s="9" t="str">
        <f aca="false">IF($A475="","",IFERROR(INDEX(會員!$B$2:$B$2000,MATCH($A475,會員!$A$2:$A$2000,0)),"（沒建檔）"))</f>
        <v>李季軒</v>
      </c>
      <c r="G475" s="10" t="str">
        <f aca="false">IF($B475="","",IF($D475="","未還","已還"))</f>
        <v>未還</v>
      </c>
    </row>
    <row r="476" customFormat="false" ht="15" hidden="false" customHeight="false" outlineLevel="0" collapsed="false">
      <c r="A476" s="7" t="s">
        <v>56</v>
      </c>
      <c r="B476" s="7" t="s">
        <v>145</v>
      </c>
      <c r="C476" s="8" t="n">
        <v>46006</v>
      </c>
      <c r="D476" s="8"/>
      <c r="E476" s="9" t="str">
        <f aca="false">IF($B476="","",IFERROR(INDEX(書籍!$B$2:$B$2000,MATCH($B476,書籍!$A$2:$A$2000,0)),"（沒建檔）"))</f>
        <v>地下室地圖</v>
      </c>
      <c r="F476" s="9" t="str">
        <f aca="false">IF($A476="","",IFERROR(INDEX(會員!$B$2:$B$2000,MATCH($A476,會員!$A$2:$A$2000,0)),"（沒建檔）"))</f>
        <v>李季軒</v>
      </c>
      <c r="G476" s="10" t="str">
        <f aca="false">IF($B476="","",IF($D476="","未還","已還"))</f>
        <v>未還</v>
      </c>
    </row>
    <row r="477" customFormat="false" ht="15" hidden="false" customHeight="false" outlineLevel="0" collapsed="false">
      <c r="A477" s="7" t="s">
        <v>28</v>
      </c>
      <c r="B477" s="7" t="s">
        <v>126</v>
      </c>
      <c r="C477" s="8" t="n">
        <v>46007</v>
      </c>
      <c r="D477" s="8" t="n">
        <v>46009</v>
      </c>
      <c r="E477" s="9" t="str">
        <f aca="false">IF($B477="","",IFERROR(INDEX(書籍!$B$2:$B$2000,MATCH($B477,書籍!$A$2:$A$2000,0)),"（沒建檔）"))</f>
        <v>地下室列車</v>
      </c>
      <c r="F477" s="9" t="str">
        <f aca="false">IF($A477="","",IFERROR(INDEX(會員!$B$2:$B$2000,MATCH($A477,會員!$A$2:$A$2000,0)),"（沒建檔）"))</f>
        <v>郭妍希</v>
      </c>
      <c r="G477" s="10" t="str">
        <f aca="false">IF($B477="","",IF($D477="","未還","已還"))</f>
        <v>已還</v>
      </c>
    </row>
    <row r="478" customFormat="false" ht="15" hidden="false" customHeight="false" outlineLevel="0" collapsed="false">
      <c r="A478" s="7" t="s">
        <v>87</v>
      </c>
      <c r="B478" s="7" t="s">
        <v>55</v>
      </c>
      <c r="C478" s="8" t="n">
        <v>46007</v>
      </c>
      <c r="D478" s="8"/>
      <c r="E478" s="9" t="str">
        <f aca="false">IF($B478="","",IFERROR(INDEX(書籍!$B$2:$B$2000,MATCH($B478,書籍!$A$2:$A$2000,0)),"（沒建檔）"))</f>
        <v>漫長的鐘樓</v>
      </c>
      <c r="F478" s="9" t="str">
        <f aca="false">IF($A478="","",IFERROR(INDEX(會員!$B$2:$B$2000,MATCH($A478,會員!$A$2:$A$2000,0)),"（沒建檔）"))</f>
        <v>楊芷萱</v>
      </c>
      <c r="G478" s="10" t="str">
        <f aca="false">IF($B478="","",IF($D478="","未還","已還"))</f>
        <v>未還</v>
      </c>
    </row>
    <row r="479" customFormat="false" ht="15" hidden="false" customHeight="false" outlineLevel="0" collapsed="false">
      <c r="A479" s="7" t="s">
        <v>60</v>
      </c>
      <c r="B479" s="7" t="s">
        <v>47</v>
      </c>
      <c r="C479" s="8" t="n">
        <v>46008</v>
      </c>
      <c r="D479" s="8"/>
      <c r="E479" s="9" t="str">
        <f aca="false">IF($B479="","",IFERROR(INDEX(書籍!$B$2:$B$2000,MATCH($B479,書籍!$A$2:$A$2000,0)),"（沒建檔）"))</f>
        <v>最後一個花園</v>
      </c>
      <c r="F479" s="9" t="str">
        <f aca="false">IF($A479="","",IFERROR(INDEX(會員!$B$2:$B$2000,MATCH($A479,會員!$A$2:$A$2000,0)),"（沒建檔）"))</f>
        <v>李怡君</v>
      </c>
      <c r="G479" s="10" t="str">
        <f aca="false">IF($B479="","",IF($D479="","未還","已還"))</f>
        <v>未還</v>
      </c>
    </row>
    <row r="480" customFormat="false" ht="15" hidden="false" customHeight="false" outlineLevel="0" collapsed="false">
      <c r="A480" s="7" t="s">
        <v>51</v>
      </c>
      <c r="B480" s="7" t="s">
        <v>135</v>
      </c>
      <c r="C480" s="8" t="n">
        <v>46009</v>
      </c>
      <c r="D480" s="8" t="n">
        <v>46016</v>
      </c>
      <c r="E480" s="9" t="str">
        <f aca="false">IF($B480="","",IFERROR(INDEX(書籍!$B$2:$B$2000,MATCH($B480,書籍!$A$2:$A$2000,0)),"（沒建檔）"))</f>
        <v>最後一個森林</v>
      </c>
      <c r="F480" s="9" t="str">
        <f aca="false">IF($A480="","",IFERROR(INDEX(會員!$B$2:$B$2000,MATCH($A480,會員!$A$2:$A$2000,0)),"（沒建檔）"))</f>
        <v>林子涵</v>
      </c>
      <c r="G480" s="10" t="str">
        <f aca="false">IF($B480="","",IF($D480="","未還","已還"))</f>
        <v>已還</v>
      </c>
    </row>
    <row r="481" customFormat="false" ht="15" hidden="false" customHeight="false" outlineLevel="0" collapsed="false">
      <c r="A481" s="7" t="s">
        <v>122</v>
      </c>
      <c r="B481" s="7" t="s">
        <v>27</v>
      </c>
      <c r="C481" s="8" t="n">
        <v>46010</v>
      </c>
      <c r="D481" s="8"/>
      <c r="E481" s="9" t="str">
        <f aca="false">IF($B481="","",IFERROR(INDEX(書籍!$B$2:$B$2000,MATCH($B481,書籍!$A$2:$A$2000,0)),"（沒建檔）"))</f>
        <v>漫長的回信</v>
      </c>
      <c r="F481" s="9" t="str">
        <f aca="false">IF($A481="","",IFERROR(INDEX(會員!$B$2:$B$2000,MATCH($A481,會員!$A$2:$A$2000,0)),"（沒建檔）"))</f>
        <v>周彥廷</v>
      </c>
      <c r="G481" s="10" t="str">
        <f aca="false">IF($B481="","",IF($D481="","未還","已還"))</f>
        <v>未還</v>
      </c>
    </row>
    <row r="482" customFormat="false" ht="15" hidden="false" customHeight="false" outlineLevel="0" collapsed="false">
      <c r="A482" s="7" t="s">
        <v>46</v>
      </c>
      <c r="B482" s="7" t="s">
        <v>126</v>
      </c>
      <c r="C482" s="8" t="n">
        <v>46011</v>
      </c>
      <c r="D482" s="8" t="n">
        <v>46019</v>
      </c>
      <c r="E482" s="9" t="str">
        <f aca="false">IF($B482="","",IFERROR(INDEX(書籍!$B$2:$B$2000,MATCH($B482,書籍!$A$2:$A$2000,0)),"（沒建檔）"))</f>
        <v>地下室列車</v>
      </c>
      <c r="F482" s="9" t="str">
        <f aca="false">IF($A482="","",IFERROR(INDEX(會員!$B$2:$B$2000,MATCH($A482,會員!$A$2:$A$2000,0)),"（沒建檔）"))</f>
        <v>郭思妤</v>
      </c>
      <c r="G482" s="10" t="str">
        <f aca="false">IF($B482="","",IF($D482="","未還","已還"))</f>
        <v>已還</v>
      </c>
    </row>
    <row r="483" customFormat="false" ht="15" hidden="false" customHeight="false" outlineLevel="0" collapsed="false">
      <c r="A483" s="7" t="s">
        <v>87</v>
      </c>
      <c r="B483" s="7" t="s">
        <v>53</v>
      </c>
      <c r="C483" s="8" t="n">
        <v>46012</v>
      </c>
      <c r="D483" s="8"/>
      <c r="E483" s="9" t="str">
        <f aca="false">IF($B483="","",IFERROR(INDEX(書籍!$B$2:$B$2000,MATCH($B483,書籍!$A$2:$A$2000,0)),"（沒建檔）"))</f>
        <v>看不見的鐘樓</v>
      </c>
      <c r="F483" s="9" t="str">
        <f aca="false">IF($A483="","",IFERROR(INDEX(會員!$B$2:$B$2000,MATCH($A483,會員!$A$2:$A$2000,0)),"（沒建檔）"))</f>
        <v>楊芷萱</v>
      </c>
      <c r="G483" s="10" t="str">
        <f aca="false">IF($B483="","",IF($D483="","未還","已還"))</f>
        <v>未還</v>
      </c>
    </row>
    <row r="484" customFormat="false" ht="15" hidden="false" customHeight="false" outlineLevel="0" collapsed="false">
      <c r="A484" s="7" t="s">
        <v>72</v>
      </c>
      <c r="B484" s="7" t="s">
        <v>71</v>
      </c>
      <c r="C484" s="8" t="n">
        <v>46012</v>
      </c>
      <c r="D484" s="8"/>
      <c r="E484" s="9" t="str">
        <f aca="false">IF($B484="","",IFERROR(INDEX(書籍!$B$2:$B$2000,MATCH($B484,書籍!$A$2:$A$2000,0)),"（沒建檔）"))</f>
        <v>深夜的手記</v>
      </c>
      <c r="F484" s="9" t="str">
        <f aca="false">IF($A484="","",IFERROR(INDEX(會員!$B$2:$B$2000,MATCH($A484,會員!$A$2:$A$2000,0)),"（沒建檔）"))</f>
        <v>蔡季軒</v>
      </c>
      <c r="G484" s="10" t="str">
        <f aca="false">IF($B484="","",IF($D484="","未還","已還"))</f>
        <v>未還</v>
      </c>
    </row>
    <row r="485" customFormat="false" ht="15" hidden="false" customHeight="false" outlineLevel="0" collapsed="false">
      <c r="A485" s="7" t="s">
        <v>107</v>
      </c>
      <c r="B485" s="7" t="s">
        <v>31</v>
      </c>
      <c r="C485" s="8" t="n">
        <v>46013</v>
      </c>
      <c r="D485" s="8"/>
      <c r="E485" s="9" t="str">
        <f aca="false">IF($B485="","",IFERROR(INDEX(書籍!$B$2:$B$2000,MATCH($B485,書籍!$A$2:$A$2000,0)),"（沒建檔）"))</f>
        <v>沉默的鋼琴師</v>
      </c>
      <c r="F485" s="9" t="str">
        <f aca="false">IF($A485="","",IFERROR(INDEX(會員!$B$2:$B$2000,MATCH($A485,會員!$A$2:$A$2000,0)),"（沒建檔）"))</f>
        <v>陳祐誠</v>
      </c>
      <c r="G485" s="10" t="str">
        <f aca="false">IF($B485="","",IF($D485="","未還","已還"))</f>
        <v>未還</v>
      </c>
    </row>
    <row r="486" customFormat="false" ht="15" hidden="false" customHeight="false" outlineLevel="0" collapsed="false">
      <c r="A486" s="7" t="s">
        <v>130</v>
      </c>
      <c r="B486" s="7" t="s">
        <v>142</v>
      </c>
      <c r="C486" s="8" t="n">
        <v>46013</v>
      </c>
      <c r="D486" s="8"/>
      <c r="E486" s="9" t="str">
        <f aca="false">IF($B486="","",IFERROR(INDEX(書籍!$B$2:$B$2000,MATCH($B486,書籍!$A$2:$A$2000,0)),"（沒建檔）"))</f>
        <v>深夜的河</v>
      </c>
      <c r="F486" s="9" t="str">
        <f aca="false">IF($A486="","",IFERROR(INDEX(會員!$B$2:$B$2000,MATCH($A486,會員!$A$2:$A$2000,0)),"（沒建檔）"))</f>
        <v>林子涵</v>
      </c>
      <c r="G486" s="10" t="str">
        <f aca="false">IF($B486="","",IF($D486="","未還","已還"))</f>
        <v>未還</v>
      </c>
    </row>
    <row r="487" customFormat="false" ht="15" hidden="false" customHeight="false" outlineLevel="0" collapsed="false">
      <c r="A487" s="7" t="s">
        <v>160</v>
      </c>
      <c r="B487" s="7" t="s">
        <v>45</v>
      </c>
      <c r="C487" s="8" t="n">
        <v>46014</v>
      </c>
      <c r="D487" s="8"/>
      <c r="E487" s="9" t="str">
        <f aca="false">IF($B487="","",IFERROR(INDEX(書籍!$B$2:$B$2000,MATCH($B487,書籍!$A$2:$A$2000,0)),"（沒建檔）"))</f>
        <v>深夜的島</v>
      </c>
      <c r="F487" s="9" t="str">
        <f aca="false">IF($A487="","",IFERROR(INDEX(會員!$B$2:$B$2000,MATCH($A487,會員!$A$2:$A$2000,0)),"（沒建檔）"))</f>
        <v>張季軒</v>
      </c>
      <c r="G487" s="10" t="str">
        <f aca="false">IF($B487="","",IF($D487="","未還","已還"))</f>
        <v>未還</v>
      </c>
    </row>
    <row r="488" customFormat="false" ht="15" hidden="false" customHeight="false" outlineLevel="0" collapsed="false">
      <c r="A488" s="7" t="s">
        <v>68</v>
      </c>
      <c r="B488" s="7" t="s">
        <v>43</v>
      </c>
      <c r="C488" s="8" t="n">
        <v>46014</v>
      </c>
      <c r="D488" s="8"/>
      <c r="E488" s="9" t="str">
        <f aca="false">IF($B488="","",IFERROR(INDEX(書籍!$B$2:$B$2000,MATCH($B488,書籍!$A$2:$A$2000,0)),"（沒建檔）"))</f>
        <v>看不見的廚房</v>
      </c>
      <c r="F488" s="9" t="str">
        <f aca="false">IF($A488="","",IFERROR(INDEX(會員!$B$2:$B$2000,MATCH($A488,會員!$A$2:$A$2000,0)),"（沒建檔）"))</f>
        <v>賴建宏</v>
      </c>
      <c r="G488" s="10" t="str">
        <f aca="false">IF($B488="","",IF($D488="","未還","已還"))</f>
        <v>未還</v>
      </c>
    </row>
    <row r="489" customFormat="false" ht="15" hidden="false" customHeight="false" outlineLevel="0" collapsed="false">
      <c r="A489" s="7" t="s">
        <v>60</v>
      </c>
      <c r="B489" s="7" t="s">
        <v>134</v>
      </c>
      <c r="C489" s="8" t="n">
        <v>46015</v>
      </c>
      <c r="D489" s="8"/>
      <c r="E489" s="9" t="str">
        <f aca="false">IF($B489="","",IFERROR(INDEX(書籍!$B$2:$B$2000,MATCH($B489,書籍!$A$2:$A$2000,0)),"（沒建檔）"))</f>
        <v>紙上的鋼琴師</v>
      </c>
      <c r="F489" s="9" t="str">
        <f aca="false">IF($A489="","",IFERROR(INDEX(會員!$B$2:$B$2000,MATCH($A489,會員!$A$2:$A$2000,0)),"（沒建檔）"))</f>
        <v>李怡君</v>
      </c>
      <c r="G489" s="10" t="str">
        <f aca="false">IF($B489="","",IF($D489="","未還","已還"))</f>
        <v>未還</v>
      </c>
    </row>
    <row r="490" customFormat="false" ht="15" hidden="false" customHeight="false" outlineLevel="0" collapsed="false">
      <c r="A490" s="7" t="s">
        <v>26</v>
      </c>
      <c r="B490" s="7" t="s">
        <v>131</v>
      </c>
      <c r="C490" s="8" t="n">
        <v>46015</v>
      </c>
      <c r="D490" s="8" t="n">
        <v>46016</v>
      </c>
      <c r="E490" s="9" t="str">
        <f aca="false">IF($B490="","",IFERROR(INDEX(書籍!$B$2:$B$2000,MATCH($B490,書籍!$A$2:$A$2000,0)),"（沒建檔）"))</f>
        <v>遠方的花園</v>
      </c>
      <c r="F490" s="9" t="str">
        <f aca="false">IF($A490="","",IFERROR(INDEX(會員!$B$2:$B$2000,MATCH($A490,會員!$A$2:$A$2000,0)),"（沒建檔）"))</f>
        <v>曾淑芬</v>
      </c>
      <c r="G490" s="10" t="str">
        <f aca="false">IF($B490="","",IF($D490="","未還","已還"))</f>
        <v>已還</v>
      </c>
    </row>
    <row r="491" customFormat="false" ht="15" hidden="false" customHeight="false" outlineLevel="0" collapsed="false">
      <c r="A491" s="7" t="s">
        <v>51</v>
      </c>
      <c r="B491" s="7" t="s">
        <v>61</v>
      </c>
      <c r="C491" s="8" t="n">
        <v>46017</v>
      </c>
      <c r="D491" s="8"/>
      <c r="E491" s="9" t="str">
        <f aca="false">IF($B491="","",IFERROR(INDEX(書籍!$B$2:$B$2000,MATCH($B491,書籍!$A$2:$A$2000,0)),"（沒建檔）"))</f>
        <v>沉默的廚房</v>
      </c>
      <c r="F491" s="9" t="str">
        <f aca="false">IF($A491="","",IFERROR(INDEX(會員!$B$2:$B$2000,MATCH($A491,會員!$A$2:$A$2000,0)),"（沒建檔）"))</f>
        <v>林子涵</v>
      </c>
      <c r="G491" s="10" t="str">
        <f aca="false">IF($B491="","",IF($D491="","未還","已還"))</f>
        <v>未還</v>
      </c>
    </row>
    <row r="492" customFormat="false" ht="15" hidden="false" customHeight="false" outlineLevel="0" collapsed="false">
      <c r="A492" s="7" t="s">
        <v>42</v>
      </c>
      <c r="B492" s="7" t="s">
        <v>39</v>
      </c>
      <c r="C492" s="8" t="n">
        <v>46017</v>
      </c>
      <c r="D492" s="8"/>
      <c r="E492" s="9" t="str">
        <f aca="false">IF($B492="","",IFERROR(INDEX(書籍!$B$2:$B$2000,MATCH($B492,書籍!$A$2:$A$2000,0)),"（沒建檔）"))</f>
        <v>看不見的花園</v>
      </c>
      <c r="F492" s="9" t="str">
        <f aca="false">IF($A492="","",IFERROR(INDEX(會員!$B$2:$B$2000,MATCH($A492,會員!$A$2:$A$2000,0)),"（沒建檔）"))</f>
        <v>蔡宜庭</v>
      </c>
      <c r="G492" s="10" t="str">
        <f aca="false">IF($B492="","",IF($D492="","未還","已還"))</f>
        <v>未還</v>
      </c>
    </row>
    <row r="493" customFormat="false" ht="15" hidden="false" customHeight="false" outlineLevel="0" collapsed="false">
      <c r="A493" s="7" t="s">
        <v>40</v>
      </c>
      <c r="B493" s="7" t="s">
        <v>127</v>
      </c>
      <c r="C493" s="8" t="n">
        <v>46018</v>
      </c>
      <c r="D493" s="8"/>
      <c r="E493" s="9" t="str">
        <f aca="false">IF($B493="","",IFERROR(INDEX(書籍!$B$2:$B$2000,MATCH($B493,書籍!$A$2:$A$2000,0)),"（沒建檔）"))</f>
        <v>第七號鐘樓</v>
      </c>
      <c r="F493" s="9" t="str">
        <f aca="false">IF($A493="","",IFERROR(INDEX(會員!$B$2:$B$2000,MATCH($A493,會員!$A$2:$A$2000,0)),"（沒建檔）"))</f>
        <v>賴佩珊</v>
      </c>
      <c r="G493" s="10" t="str">
        <f aca="false">IF($B493="","",IF($D493="","未還","已還"))</f>
        <v>未還</v>
      </c>
    </row>
    <row r="494" customFormat="false" ht="15" hidden="false" customHeight="false" outlineLevel="0" collapsed="false">
      <c r="A494" s="7" t="s">
        <v>32</v>
      </c>
      <c r="B494" s="7" t="s">
        <v>117</v>
      </c>
      <c r="C494" s="8" t="n">
        <v>46019</v>
      </c>
      <c r="D494" s="8"/>
      <c r="E494" s="9" t="str">
        <f aca="false">IF($B494="","",IFERROR(INDEX(書籍!$B$2:$B$2000,MATCH($B494,書籍!$A$2:$A$2000,0)),"（沒建檔）"))</f>
        <v>兩個人的偵探</v>
      </c>
      <c r="F494" s="9" t="str">
        <f aca="false">IF($A494="","",IFERROR(INDEX(會員!$B$2:$B$2000,MATCH($A494,會員!$A$2:$A$2000,0)),"（沒建檔）"))</f>
        <v>李子涵</v>
      </c>
      <c r="G494" s="10" t="str">
        <f aca="false">IF($B494="","",IF($D494="","未還","已還"))</f>
        <v>未還</v>
      </c>
    </row>
    <row r="495" customFormat="false" ht="15" hidden="false" customHeight="false" outlineLevel="0" collapsed="false">
      <c r="A495" s="7" t="s">
        <v>32</v>
      </c>
      <c r="B495" s="7" t="s">
        <v>151</v>
      </c>
      <c r="C495" s="8" t="n">
        <v>46020</v>
      </c>
      <c r="D495" s="8"/>
      <c r="E495" s="9" t="str">
        <f aca="false">IF($B495="","",IFERROR(INDEX(書籍!$B$2:$B$2000,MATCH($B495,書籍!$A$2:$A$2000,0)),"（沒建檔）"))</f>
        <v>微小的祕密</v>
      </c>
      <c r="F495" s="9" t="str">
        <f aca="false">IF($A495="","",IFERROR(INDEX(會員!$B$2:$B$2000,MATCH($A495,會員!$A$2:$A$2000,0)),"（沒建檔）"))</f>
        <v>李子涵</v>
      </c>
      <c r="G495" s="10" t="str">
        <f aca="false">IF($B495="","",IF($D495="","未還","已還"))</f>
        <v>未還</v>
      </c>
    </row>
    <row r="496" customFormat="false" ht="15" hidden="false" customHeight="false" outlineLevel="0" collapsed="false">
      <c r="A496" s="7" t="s">
        <v>58</v>
      </c>
      <c r="B496" s="7" t="s">
        <v>112</v>
      </c>
      <c r="C496" s="8" t="n">
        <v>46020</v>
      </c>
      <c r="D496" s="8"/>
      <c r="E496" s="9" t="str">
        <f aca="false">IF($B496="","",IFERROR(INDEX(書籍!$B$2:$B$2000,MATCH($B496,書籍!$A$2:$A$2000,0)),"（沒建檔）"))</f>
        <v>圖書館地圖</v>
      </c>
      <c r="F496" s="9" t="str">
        <f aca="false">IF($A496="","",IFERROR(INDEX(會員!$B$2:$B$2000,MATCH($A496,會員!$A$2:$A$2000,0)),"（沒建檔）"))</f>
        <v>賴思妤</v>
      </c>
      <c r="G496" s="10" t="str">
        <f aca="false">IF($B496="","",IF($D496="","未還","已還"))</f>
        <v>未還</v>
      </c>
    </row>
    <row r="497" customFormat="false" ht="15" hidden="false" customHeight="false" outlineLevel="0" collapsed="false">
      <c r="A497" s="7" t="s">
        <v>122</v>
      </c>
      <c r="B497" s="7" t="s">
        <v>133</v>
      </c>
      <c r="C497" s="8" t="n">
        <v>46020</v>
      </c>
      <c r="D497" s="8"/>
      <c r="E497" s="9" t="str">
        <f aca="false">IF($B497="","",IFERROR(INDEX(書籍!$B$2:$B$2000,MATCH($B497,書籍!$A$2:$A$2000,0)),"（沒建檔）"))</f>
        <v>深夜的咖啡館</v>
      </c>
      <c r="F497" s="9" t="str">
        <f aca="false">IF($A497="","",IFERROR(INDEX(會員!$B$2:$B$2000,MATCH($A497,會員!$A$2:$A$2000,0)),"（沒建檔）"))</f>
        <v>周彥廷</v>
      </c>
      <c r="G497" s="10" t="str">
        <f aca="false">IF($B497="","",IF($D497="","未還","已還"))</f>
        <v>未還</v>
      </c>
    </row>
    <row r="498" customFormat="false" ht="15" hidden="false" customHeight="false" outlineLevel="0" collapsed="false">
      <c r="A498" s="7" t="s">
        <v>93</v>
      </c>
      <c r="B498" s="7" t="s">
        <v>76</v>
      </c>
      <c r="C498" s="8" t="n">
        <v>46021</v>
      </c>
      <c r="D498" s="8"/>
      <c r="E498" s="9" t="str">
        <f aca="false">IF($B498="","",IFERROR(INDEX(書籍!$B$2:$B$2000,MATCH($B498,書籍!$A$2:$A$2000,0)),"（沒建檔）"))</f>
        <v>十二個鐘樓</v>
      </c>
      <c r="F498" s="9" t="str">
        <f aca="false">IF($A498="","",IFERROR(INDEX(會員!$B$2:$B$2000,MATCH($A498,會員!$A$2:$A$2000,0)),"（沒建檔）"))</f>
        <v>邱沐恩</v>
      </c>
      <c r="G498" s="10" t="str">
        <f aca="false">IF($B498="","",IF($D498="","未還","已還"))</f>
        <v>未還</v>
      </c>
    </row>
    <row r="499" customFormat="false" ht="15" hidden="false" customHeight="false" outlineLevel="0" collapsed="false">
      <c r="A499" s="7" t="s">
        <v>93</v>
      </c>
      <c r="B499" s="7" t="s">
        <v>153</v>
      </c>
      <c r="C499" s="8" t="n">
        <v>46022</v>
      </c>
      <c r="D499" s="8"/>
      <c r="E499" s="9" t="str">
        <f aca="false">IF($B499="","",IFERROR(INDEX(書籍!$B$2:$B$2000,MATCH($B499,書籍!$A$2:$A$2000,0)),"（沒建檔）"))</f>
        <v>地下室夏天</v>
      </c>
      <c r="F499" s="9" t="str">
        <f aca="false">IF($A499="","",IFERROR(INDEX(會員!$B$2:$B$2000,MATCH($A499,會員!$A$2:$A$2000,0)),"（沒建檔）"))</f>
        <v>邱沐恩</v>
      </c>
      <c r="G499" s="10" t="str">
        <f aca="false">IF($B499="","",IF($D499="","未還","已還"))</f>
        <v>未還</v>
      </c>
    </row>
    <row r="500" customFormat="false" ht="15" hidden="false" customHeight="false" outlineLevel="0" collapsed="false">
      <c r="A500" s="7" t="s">
        <v>130</v>
      </c>
      <c r="B500" s="7" t="s">
        <v>155</v>
      </c>
      <c r="C500" s="8" t="n">
        <v>46022</v>
      </c>
      <c r="D500" s="8"/>
      <c r="E500" s="9" t="str">
        <f aca="false">IF($B500="","",IFERROR(INDEX(書籍!$B$2:$B$2000,MATCH($B500,書籍!$A$2:$A$2000,0)),"（沒建檔）"))</f>
        <v>海邊的季節</v>
      </c>
      <c r="F500" s="9" t="str">
        <f aca="false">IF($A500="","",IFERROR(INDEX(會員!$B$2:$B$2000,MATCH($A500,會員!$A$2:$A$2000,0)),"（沒建檔）"))</f>
        <v>林子涵</v>
      </c>
      <c r="G500" s="10" t="str">
        <f aca="false">IF($B500="","",IF($D500="","未還","已還"))</f>
        <v>未還</v>
      </c>
    </row>
    <row r="501" customFormat="false" ht="15" hidden="false" customHeight="false" outlineLevel="0" collapsed="false">
      <c r="A501" s="7" t="s">
        <v>51</v>
      </c>
      <c r="B501" s="7" t="s">
        <v>120</v>
      </c>
      <c r="C501" s="8" t="n">
        <v>46022</v>
      </c>
      <c r="D501" s="8"/>
      <c r="E501" s="9" t="str">
        <f aca="false">IF($B501="","",IFERROR(INDEX(書籍!$B$2:$B$2000,MATCH($B501,書籍!$A$2:$A$2000,0)),"（沒建檔）"))</f>
        <v>月球廚房</v>
      </c>
      <c r="F501" s="9" t="str">
        <f aca="false">IF($A501="","",IFERROR(INDEX(會員!$B$2:$B$2000,MATCH($A501,會員!$A$2:$A$2000,0)),"（沒建檔）"))</f>
        <v>林子涵</v>
      </c>
      <c r="G501" s="10" t="str">
        <f aca="false">IF($B501="","",IF($D501="","未還","已還"))</f>
        <v>未還</v>
      </c>
    </row>
    <row r="502" customFormat="false" ht="15" hidden="false" customHeight="false" outlineLevel="0" collapsed="false">
      <c r="A502" s="7" t="s">
        <v>87</v>
      </c>
      <c r="B502" s="7" t="s">
        <v>117</v>
      </c>
      <c r="C502" s="8" t="n">
        <v>46270</v>
      </c>
      <c r="D502" s="8"/>
      <c r="E502" s="9" t="str">
        <f aca="false">IF($B502="","",IFERROR(INDEX(書籍!$B$2:$B$2000,MATCH($B502,書籍!$A$2:$A$2000,0)),"（沒建檔）"))</f>
        <v>兩個人的偵探</v>
      </c>
      <c r="F502" s="9" t="str">
        <f aca="false">IF($A502="","",IFERROR(INDEX(會員!$B$2:$B$2000,MATCH($A502,會員!$A$2:$A$2000,0)),"（沒建檔）"))</f>
        <v>楊芷萱</v>
      </c>
      <c r="G502" s="10" t="str">
        <f aca="false">IF($B502="","",IF($D502="","未還","已還"))</f>
        <v>未還</v>
      </c>
    </row>
    <row r="503" customFormat="false" ht="15" hidden="false" customHeight="false" outlineLevel="0" collapsed="false">
      <c r="E503" s="9" t="str">
        <f aca="false">IF($B503="","",IFERROR(INDEX(書籍!$B$2:$B$2000,MATCH($B503,書籍!$A$2:$A$2000,0)),"（沒建檔）"))</f>
        <v/>
      </c>
      <c r="F503" s="9" t="str">
        <f aca="false">IF($A503="","",IFERROR(INDEX(會員!$B$2:$B$2000,MATCH($A503,會員!$A$2:$A$2000,0)),"（沒建檔）"))</f>
        <v/>
      </c>
      <c r="G503" s="10" t="str">
        <f aca="false">IF($B503="","",IF($D503="","未還","已還"))</f>
        <v/>
      </c>
    </row>
    <row r="504" customFormat="false" ht="15" hidden="false" customHeight="false" outlineLevel="0" collapsed="false">
      <c r="E504" s="9" t="str">
        <f aca="false">IF($B504="","",IFERROR(INDEX(書籍!$B$2:$B$2000,MATCH($B504,書籍!$A$2:$A$2000,0)),"（沒建檔）"))</f>
        <v/>
      </c>
      <c r="F504" s="9" t="str">
        <f aca="false">IF($A504="","",IFERROR(INDEX(會員!$B$2:$B$2000,MATCH($A504,會員!$A$2:$A$2000,0)),"（沒建檔）"))</f>
        <v/>
      </c>
      <c r="G504" s="10" t="str">
        <f aca="false">IF($B504="","",IF($D504="","未還","已還"))</f>
        <v/>
      </c>
    </row>
    <row r="505" customFormat="false" ht="15" hidden="false" customHeight="false" outlineLevel="0" collapsed="false">
      <c r="E505" s="9" t="str">
        <f aca="false">IF($B505="","",IFERROR(INDEX(書籍!$B$2:$B$2000,MATCH($B505,書籍!$A$2:$A$2000,0)),"（沒建檔）"))</f>
        <v/>
      </c>
      <c r="F505" s="9" t="str">
        <f aca="false">IF($A505="","",IFERROR(INDEX(會員!$B$2:$B$2000,MATCH($A505,會員!$A$2:$A$2000,0)),"（沒建檔）"))</f>
        <v/>
      </c>
      <c r="G505" s="10" t="str">
        <f aca="false">IF($B505="","",IF($D505="","未還","已還"))</f>
        <v/>
      </c>
    </row>
    <row r="506" customFormat="false" ht="15" hidden="false" customHeight="false" outlineLevel="0" collapsed="false">
      <c r="E506" s="9" t="str">
        <f aca="false">IF($B506="","",IFERROR(INDEX(書籍!$B$2:$B$2000,MATCH($B506,書籍!$A$2:$A$2000,0)),"（沒建檔）"))</f>
        <v/>
      </c>
      <c r="F506" s="9" t="str">
        <f aca="false">IF($A506="","",IFERROR(INDEX(會員!$B$2:$B$2000,MATCH($A506,會員!$A$2:$A$2000,0)),"（沒建檔）"))</f>
        <v/>
      </c>
      <c r="G506" s="10" t="str">
        <f aca="false">IF($B506="","",IF($D506="","未還","已還"))</f>
        <v/>
      </c>
    </row>
    <row r="507" customFormat="false" ht="15" hidden="false" customHeight="false" outlineLevel="0" collapsed="false">
      <c r="E507" s="9" t="str">
        <f aca="false">IF($B507="","",IFERROR(INDEX(書籍!$B$2:$B$2000,MATCH($B507,書籍!$A$2:$A$2000,0)),"（沒建檔）"))</f>
        <v/>
      </c>
      <c r="F507" s="9" t="str">
        <f aca="false">IF($A507="","",IFERROR(INDEX(會員!$B$2:$B$2000,MATCH($A507,會員!$A$2:$A$2000,0)),"（沒建檔）"))</f>
        <v/>
      </c>
      <c r="G507" s="10" t="str">
        <f aca="false">IF($B507="","",IF($D507="","未還","已還"))</f>
        <v/>
      </c>
    </row>
    <row r="508" customFormat="false" ht="15" hidden="false" customHeight="false" outlineLevel="0" collapsed="false">
      <c r="E508" s="9" t="str">
        <f aca="false">IF($B508="","",IFERROR(INDEX(書籍!$B$2:$B$2000,MATCH($B508,書籍!$A$2:$A$2000,0)),"（沒建檔）"))</f>
        <v/>
      </c>
      <c r="F508" s="9" t="str">
        <f aca="false">IF($A508="","",IFERROR(INDEX(會員!$B$2:$B$2000,MATCH($A508,會員!$A$2:$A$2000,0)),"（沒建檔）"))</f>
        <v/>
      </c>
      <c r="G508" s="10" t="str">
        <f aca="false">IF($B508="","",IF($D508="","未還","已還"))</f>
        <v/>
      </c>
    </row>
    <row r="509" customFormat="false" ht="15" hidden="false" customHeight="false" outlineLevel="0" collapsed="false">
      <c r="E509" s="9" t="str">
        <f aca="false">IF($B509="","",IFERROR(INDEX(書籍!$B$2:$B$2000,MATCH($B509,書籍!$A$2:$A$2000,0)),"（沒建檔）"))</f>
        <v/>
      </c>
      <c r="F509" s="9" t="str">
        <f aca="false">IF($A509="","",IFERROR(INDEX(會員!$B$2:$B$2000,MATCH($A509,會員!$A$2:$A$2000,0)),"（沒建檔）"))</f>
        <v/>
      </c>
      <c r="G509" s="10" t="str">
        <f aca="false">IF($B509="","",IF($D509="","未還","已還"))</f>
        <v/>
      </c>
    </row>
    <row r="510" customFormat="false" ht="15" hidden="false" customHeight="false" outlineLevel="0" collapsed="false">
      <c r="E510" s="9" t="str">
        <f aca="false">IF($B510="","",IFERROR(INDEX(書籍!$B$2:$B$2000,MATCH($B510,書籍!$A$2:$A$2000,0)),"（沒建檔）"))</f>
        <v/>
      </c>
      <c r="F510" s="9" t="str">
        <f aca="false">IF($A510="","",IFERROR(INDEX(會員!$B$2:$B$2000,MATCH($A510,會員!$A$2:$A$2000,0)),"（沒建檔）"))</f>
        <v/>
      </c>
      <c r="G510" s="10" t="str">
        <f aca="false">IF($B510="","",IF($D510="","未還","已還"))</f>
        <v/>
      </c>
    </row>
    <row r="511" customFormat="false" ht="15" hidden="false" customHeight="false" outlineLevel="0" collapsed="false">
      <c r="E511" s="9" t="str">
        <f aca="false">IF($B511="","",IFERROR(INDEX(書籍!$B$2:$B$2000,MATCH($B511,書籍!$A$2:$A$2000,0)),"（沒建檔）"))</f>
        <v/>
      </c>
      <c r="F511" s="9" t="str">
        <f aca="false">IF($A511="","",IFERROR(INDEX(會員!$B$2:$B$2000,MATCH($A511,會員!$A$2:$A$2000,0)),"（沒建檔）"))</f>
        <v/>
      </c>
      <c r="G511" s="10" t="str">
        <f aca="false">IF($B511="","",IF($D511="","未還","已還"))</f>
        <v/>
      </c>
    </row>
    <row r="512" customFormat="false" ht="15" hidden="false" customHeight="false" outlineLevel="0" collapsed="false">
      <c r="E512" s="9" t="str">
        <f aca="false">IF($B512="","",IFERROR(INDEX(書籍!$B$2:$B$2000,MATCH($B512,書籍!$A$2:$A$2000,0)),"（沒建檔）"))</f>
        <v/>
      </c>
      <c r="F512" s="9" t="str">
        <f aca="false">IF($A512="","",IFERROR(INDEX(會員!$B$2:$B$2000,MATCH($A512,會員!$A$2:$A$2000,0)),"（沒建檔）"))</f>
        <v/>
      </c>
      <c r="G512" s="10" t="str">
        <f aca="false">IF($B512="","",IF($D512="","未還","已還"))</f>
        <v/>
      </c>
    </row>
    <row r="513" customFormat="false" ht="15" hidden="false" customHeight="false" outlineLevel="0" collapsed="false">
      <c r="E513" s="9" t="str">
        <f aca="false">IF($B513="","",IFERROR(INDEX(書籍!$B$2:$B$2000,MATCH($B513,書籍!$A$2:$A$2000,0)),"（沒建檔）"))</f>
        <v/>
      </c>
      <c r="F513" s="9" t="str">
        <f aca="false">IF($A513="","",IFERROR(INDEX(會員!$B$2:$B$2000,MATCH($A513,會員!$A$2:$A$2000,0)),"（沒建檔）"))</f>
        <v/>
      </c>
      <c r="G513" s="10" t="str">
        <f aca="false">IF($B513="","",IF($D513="","未還","已還"))</f>
        <v/>
      </c>
    </row>
    <row r="514" customFormat="false" ht="15" hidden="false" customHeight="false" outlineLevel="0" collapsed="false">
      <c r="E514" s="9" t="str">
        <f aca="false">IF($B514="","",IFERROR(INDEX(書籍!$B$2:$B$2000,MATCH($B514,書籍!$A$2:$A$2000,0)),"（沒建檔）"))</f>
        <v/>
      </c>
      <c r="F514" s="9" t="str">
        <f aca="false">IF($A514="","",IFERROR(INDEX(會員!$B$2:$B$2000,MATCH($A514,會員!$A$2:$A$2000,0)),"（沒建檔）"))</f>
        <v/>
      </c>
      <c r="G514" s="10" t="str">
        <f aca="false">IF($B514="","",IF($D514="","未還","已還"))</f>
        <v/>
      </c>
    </row>
    <row r="515" customFormat="false" ht="15" hidden="false" customHeight="false" outlineLevel="0" collapsed="false">
      <c r="E515" s="9" t="str">
        <f aca="false">IF($B515="","",IFERROR(INDEX(書籍!$B$2:$B$2000,MATCH($B515,書籍!$A$2:$A$2000,0)),"（沒建檔）"))</f>
        <v/>
      </c>
      <c r="F515" s="9" t="str">
        <f aca="false">IF($A515="","",IFERROR(INDEX(會員!$B$2:$B$2000,MATCH($A515,會員!$A$2:$A$2000,0)),"（沒建檔）"))</f>
        <v/>
      </c>
      <c r="G515" s="10" t="str">
        <f aca="false">IF($B515="","",IF($D515="","未還","已還"))</f>
        <v/>
      </c>
    </row>
    <row r="516" customFormat="false" ht="15" hidden="false" customHeight="false" outlineLevel="0" collapsed="false">
      <c r="E516" s="9" t="str">
        <f aca="false">IF($B516="","",IFERROR(INDEX(書籍!$B$2:$B$2000,MATCH($B516,書籍!$A$2:$A$2000,0)),"（沒建檔）"))</f>
        <v/>
      </c>
      <c r="F516" s="9" t="str">
        <f aca="false">IF($A516="","",IFERROR(INDEX(會員!$B$2:$B$2000,MATCH($A516,會員!$A$2:$A$2000,0)),"（沒建檔）"))</f>
        <v/>
      </c>
      <c r="G516" s="10" t="str">
        <f aca="false">IF($B516="","",IF($D516="","未還","已還"))</f>
        <v/>
      </c>
    </row>
    <row r="517" customFormat="false" ht="15" hidden="false" customHeight="false" outlineLevel="0" collapsed="false">
      <c r="E517" s="9" t="str">
        <f aca="false">IF($B517="","",IFERROR(INDEX(書籍!$B$2:$B$2000,MATCH($B517,書籍!$A$2:$A$2000,0)),"（沒建檔）"))</f>
        <v/>
      </c>
      <c r="F517" s="9" t="str">
        <f aca="false">IF($A517="","",IFERROR(INDEX(會員!$B$2:$B$2000,MATCH($A517,會員!$A$2:$A$2000,0)),"（沒建檔）"))</f>
        <v/>
      </c>
      <c r="G517" s="10" t="str">
        <f aca="false">IF($B517="","",IF($D517="","未還","已還"))</f>
        <v/>
      </c>
    </row>
    <row r="518" customFormat="false" ht="15" hidden="false" customHeight="false" outlineLevel="0" collapsed="false">
      <c r="E518" s="9" t="str">
        <f aca="false">IF($B518="","",IFERROR(INDEX(書籍!$B$2:$B$2000,MATCH($B518,書籍!$A$2:$A$2000,0)),"（沒建檔）"))</f>
        <v/>
      </c>
      <c r="F518" s="9" t="str">
        <f aca="false">IF($A518="","",IFERROR(INDEX(會員!$B$2:$B$2000,MATCH($A518,會員!$A$2:$A$2000,0)),"（沒建檔）"))</f>
        <v/>
      </c>
      <c r="G518" s="10" t="str">
        <f aca="false">IF($B518="","",IF($D518="","未還","已還"))</f>
        <v/>
      </c>
    </row>
    <row r="519" customFormat="false" ht="15" hidden="false" customHeight="false" outlineLevel="0" collapsed="false">
      <c r="E519" s="9" t="str">
        <f aca="false">IF($B519="","",IFERROR(INDEX(書籍!$B$2:$B$2000,MATCH($B519,書籍!$A$2:$A$2000,0)),"（沒建檔）"))</f>
        <v/>
      </c>
      <c r="F519" s="9" t="str">
        <f aca="false">IF($A519="","",IFERROR(INDEX(會員!$B$2:$B$2000,MATCH($A519,會員!$A$2:$A$2000,0)),"（沒建檔）"))</f>
        <v/>
      </c>
      <c r="G519" s="10" t="str">
        <f aca="false">IF($B519="","",IF($D519="","未還","已還"))</f>
        <v/>
      </c>
    </row>
    <row r="520" customFormat="false" ht="15" hidden="false" customHeight="false" outlineLevel="0" collapsed="false">
      <c r="E520" s="9" t="str">
        <f aca="false">IF($B520="","",IFERROR(INDEX(書籍!$B$2:$B$2000,MATCH($B520,書籍!$A$2:$A$2000,0)),"（沒建檔）"))</f>
        <v/>
      </c>
      <c r="F520" s="9" t="str">
        <f aca="false">IF($A520="","",IFERROR(INDEX(會員!$B$2:$B$2000,MATCH($A520,會員!$A$2:$A$2000,0)),"（沒建檔）"))</f>
        <v/>
      </c>
      <c r="G520" s="10" t="str">
        <f aca="false">IF($B520="","",IF($D520="","未還","已還"))</f>
        <v/>
      </c>
    </row>
    <row r="521" customFormat="false" ht="15" hidden="false" customHeight="false" outlineLevel="0" collapsed="false">
      <c r="E521" s="9" t="str">
        <f aca="false">IF($B521="","",IFERROR(INDEX(書籍!$B$2:$B$2000,MATCH($B521,書籍!$A$2:$A$2000,0)),"（沒建檔）"))</f>
        <v/>
      </c>
      <c r="F521" s="9" t="str">
        <f aca="false">IF($A521="","",IFERROR(INDEX(會員!$B$2:$B$2000,MATCH($A521,會員!$A$2:$A$2000,0)),"（沒建檔）"))</f>
        <v/>
      </c>
      <c r="G521" s="10" t="str">
        <f aca="false">IF($B521="","",IF($D521="","未還","已還"))</f>
        <v/>
      </c>
    </row>
    <row r="522" customFormat="false" ht="15" hidden="false" customHeight="false" outlineLevel="0" collapsed="false">
      <c r="E522" s="9" t="str">
        <f aca="false">IF($B522="","",IFERROR(INDEX(書籍!$B$2:$B$2000,MATCH($B522,書籍!$A$2:$A$2000,0)),"（沒建檔）"))</f>
        <v/>
      </c>
      <c r="F522" s="9" t="str">
        <f aca="false">IF($A522="","",IFERROR(INDEX(會員!$B$2:$B$2000,MATCH($A522,會員!$A$2:$A$2000,0)),"（沒建檔）"))</f>
        <v/>
      </c>
      <c r="G522" s="10" t="str">
        <f aca="false">IF($B522="","",IF($D522="","未還","已還"))</f>
        <v/>
      </c>
    </row>
    <row r="523" customFormat="false" ht="15" hidden="false" customHeight="false" outlineLevel="0" collapsed="false">
      <c r="E523" s="9" t="str">
        <f aca="false">IF($B523="","",IFERROR(INDEX(書籍!$B$2:$B$2000,MATCH($B523,書籍!$A$2:$A$2000,0)),"（沒建檔）"))</f>
        <v/>
      </c>
      <c r="F523" s="9" t="str">
        <f aca="false">IF($A523="","",IFERROR(INDEX(會員!$B$2:$B$2000,MATCH($A523,會員!$A$2:$A$2000,0)),"（沒建檔）"))</f>
        <v/>
      </c>
      <c r="G523" s="10" t="str">
        <f aca="false">IF($B523="","",IF($D523="","未還","已還"))</f>
        <v/>
      </c>
    </row>
    <row r="524" customFormat="false" ht="15" hidden="false" customHeight="false" outlineLevel="0" collapsed="false">
      <c r="E524" s="9" t="str">
        <f aca="false">IF($B524="","",IFERROR(INDEX(書籍!$B$2:$B$2000,MATCH($B524,書籍!$A$2:$A$2000,0)),"（沒建檔）"))</f>
        <v/>
      </c>
      <c r="F524" s="9" t="str">
        <f aca="false">IF($A524="","",IFERROR(INDEX(會員!$B$2:$B$2000,MATCH($A524,會員!$A$2:$A$2000,0)),"（沒建檔）"))</f>
        <v/>
      </c>
      <c r="G524" s="10" t="str">
        <f aca="false">IF($B524="","",IF($D524="","未還","已還"))</f>
        <v/>
      </c>
    </row>
    <row r="525" customFormat="false" ht="15" hidden="false" customHeight="false" outlineLevel="0" collapsed="false">
      <c r="E525" s="9" t="str">
        <f aca="false">IF($B525="","",IFERROR(INDEX(書籍!$B$2:$B$2000,MATCH($B525,書籍!$A$2:$A$2000,0)),"（沒建檔）"))</f>
        <v/>
      </c>
      <c r="F525" s="9" t="str">
        <f aca="false">IF($A525="","",IFERROR(INDEX(會員!$B$2:$B$2000,MATCH($A525,會員!$A$2:$A$2000,0)),"（沒建檔）"))</f>
        <v/>
      </c>
      <c r="G525" s="10" t="str">
        <f aca="false">IF($B525="","",IF($D525="","未還","已還"))</f>
        <v/>
      </c>
    </row>
    <row r="526" customFormat="false" ht="15" hidden="false" customHeight="false" outlineLevel="0" collapsed="false">
      <c r="E526" s="9" t="str">
        <f aca="false">IF($B526="","",IFERROR(INDEX(書籍!$B$2:$B$2000,MATCH($B526,書籍!$A$2:$A$2000,0)),"（沒建檔）"))</f>
        <v/>
      </c>
      <c r="F526" s="9" t="str">
        <f aca="false">IF($A526="","",IFERROR(INDEX(會員!$B$2:$B$2000,MATCH($A526,會員!$A$2:$A$2000,0)),"（沒建檔）"))</f>
        <v/>
      </c>
      <c r="G526" s="10" t="str">
        <f aca="false">IF($B526="","",IF($D526="","未還","已還"))</f>
        <v/>
      </c>
    </row>
    <row r="527" customFormat="false" ht="15" hidden="false" customHeight="false" outlineLevel="0" collapsed="false">
      <c r="E527" s="9" t="str">
        <f aca="false">IF($B527="","",IFERROR(INDEX(書籍!$B$2:$B$2000,MATCH($B527,書籍!$A$2:$A$2000,0)),"（沒建檔）"))</f>
        <v/>
      </c>
      <c r="F527" s="9" t="str">
        <f aca="false">IF($A527="","",IFERROR(INDEX(會員!$B$2:$B$2000,MATCH($A527,會員!$A$2:$A$2000,0)),"（沒建檔）"))</f>
        <v/>
      </c>
      <c r="G527" s="10" t="str">
        <f aca="false">IF($B527="","",IF($D527="","未還","已還"))</f>
        <v/>
      </c>
    </row>
    <row r="528" customFormat="false" ht="15" hidden="false" customHeight="false" outlineLevel="0" collapsed="false">
      <c r="E528" s="9" t="str">
        <f aca="false">IF($B528="","",IFERROR(INDEX(書籍!$B$2:$B$2000,MATCH($B528,書籍!$A$2:$A$2000,0)),"（沒建檔）"))</f>
        <v/>
      </c>
      <c r="F528" s="9" t="str">
        <f aca="false">IF($A528="","",IFERROR(INDEX(會員!$B$2:$B$2000,MATCH($A528,會員!$A$2:$A$2000,0)),"（沒建檔）"))</f>
        <v/>
      </c>
      <c r="G528" s="10" t="str">
        <f aca="false">IF($B528="","",IF($D528="","未還","已還"))</f>
        <v/>
      </c>
    </row>
    <row r="529" customFormat="false" ht="15" hidden="false" customHeight="false" outlineLevel="0" collapsed="false">
      <c r="E529" s="9" t="str">
        <f aca="false">IF($B529="","",IFERROR(INDEX(書籍!$B$2:$B$2000,MATCH($B529,書籍!$A$2:$A$2000,0)),"（沒建檔）"))</f>
        <v/>
      </c>
      <c r="F529" s="9" t="str">
        <f aca="false">IF($A529="","",IFERROR(INDEX(會員!$B$2:$B$2000,MATCH($A529,會員!$A$2:$A$2000,0)),"（沒建檔）"))</f>
        <v/>
      </c>
      <c r="G529" s="10" t="str">
        <f aca="false">IF($B529="","",IF($D529="","未還","已還"))</f>
        <v/>
      </c>
    </row>
    <row r="530" customFormat="false" ht="15" hidden="false" customHeight="false" outlineLevel="0" collapsed="false">
      <c r="E530" s="9" t="str">
        <f aca="false">IF($B530="","",IFERROR(INDEX(書籍!$B$2:$B$2000,MATCH($B530,書籍!$A$2:$A$2000,0)),"（沒建檔）"))</f>
        <v/>
      </c>
      <c r="F530" s="9" t="str">
        <f aca="false">IF($A530="","",IFERROR(INDEX(會員!$B$2:$B$2000,MATCH($A530,會員!$A$2:$A$2000,0)),"（沒建檔）"))</f>
        <v/>
      </c>
      <c r="G530" s="10" t="str">
        <f aca="false">IF($B530="","",IF($D530="","未還","已還"))</f>
        <v/>
      </c>
    </row>
    <row r="531" customFormat="false" ht="15" hidden="false" customHeight="false" outlineLevel="0" collapsed="false">
      <c r="E531" s="9" t="str">
        <f aca="false">IF($B531="","",IFERROR(INDEX(書籍!$B$2:$B$2000,MATCH($B531,書籍!$A$2:$A$2000,0)),"（沒建檔）"))</f>
        <v/>
      </c>
      <c r="F531" s="9" t="str">
        <f aca="false">IF($A531="","",IFERROR(INDEX(會員!$B$2:$B$2000,MATCH($A531,會員!$A$2:$A$2000,0)),"（沒建檔）"))</f>
        <v/>
      </c>
      <c r="G531" s="10" t="str">
        <f aca="false">IF($B531="","",IF($D531="","未還","已還"))</f>
        <v/>
      </c>
    </row>
    <row r="532" customFormat="false" ht="15" hidden="false" customHeight="false" outlineLevel="0" collapsed="false">
      <c r="E532" s="9" t="str">
        <f aca="false">IF($B532="","",IFERROR(INDEX(書籍!$B$2:$B$2000,MATCH($B532,書籍!$A$2:$A$2000,0)),"（沒建檔）"))</f>
        <v/>
      </c>
      <c r="F532" s="9" t="str">
        <f aca="false">IF($A532="","",IFERROR(INDEX(會員!$B$2:$B$2000,MATCH($A532,會員!$A$2:$A$2000,0)),"（沒建檔）"))</f>
        <v/>
      </c>
      <c r="G532" s="10" t="str">
        <f aca="false">IF($B532="","",IF($D532="","未還","已還"))</f>
        <v/>
      </c>
    </row>
    <row r="533" customFormat="false" ht="15" hidden="false" customHeight="false" outlineLevel="0" collapsed="false">
      <c r="E533" s="9" t="str">
        <f aca="false">IF($B533="","",IFERROR(INDEX(書籍!$B$2:$B$2000,MATCH($B533,書籍!$A$2:$A$2000,0)),"（沒建檔）"))</f>
        <v/>
      </c>
      <c r="F533" s="9" t="str">
        <f aca="false">IF($A533="","",IFERROR(INDEX(會員!$B$2:$B$2000,MATCH($A533,會員!$A$2:$A$2000,0)),"（沒建檔）"))</f>
        <v/>
      </c>
      <c r="G533" s="10" t="str">
        <f aca="false">IF($B533="","",IF($D533="","未還","已還"))</f>
        <v/>
      </c>
    </row>
    <row r="534" customFormat="false" ht="15" hidden="false" customHeight="false" outlineLevel="0" collapsed="false">
      <c r="E534" s="9" t="str">
        <f aca="false">IF($B534="","",IFERROR(INDEX(書籍!$B$2:$B$2000,MATCH($B534,書籍!$A$2:$A$2000,0)),"（沒建檔）"))</f>
        <v/>
      </c>
      <c r="F534" s="9" t="str">
        <f aca="false">IF($A534="","",IFERROR(INDEX(會員!$B$2:$B$2000,MATCH($A534,會員!$A$2:$A$2000,0)),"（沒建檔）"))</f>
        <v/>
      </c>
      <c r="G534" s="10" t="str">
        <f aca="false">IF($B534="","",IF($D534="","未還","已還"))</f>
        <v/>
      </c>
    </row>
    <row r="535" customFormat="false" ht="15" hidden="false" customHeight="false" outlineLevel="0" collapsed="false">
      <c r="E535" s="9" t="str">
        <f aca="false">IF($B535="","",IFERROR(INDEX(書籍!$B$2:$B$2000,MATCH($B535,書籍!$A$2:$A$2000,0)),"（沒建檔）"))</f>
        <v/>
      </c>
      <c r="F535" s="9" t="str">
        <f aca="false">IF($A535="","",IFERROR(INDEX(會員!$B$2:$B$2000,MATCH($A535,會員!$A$2:$A$2000,0)),"（沒建檔）"))</f>
        <v/>
      </c>
      <c r="G535" s="10" t="str">
        <f aca="false">IF($B535="","",IF($D535="","未還","已還"))</f>
        <v/>
      </c>
    </row>
    <row r="536" customFormat="false" ht="15" hidden="false" customHeight="false" outlineLevel="0" collapsed="false">
      <c r="E536" s="9" t="str">
        <f aca="false">IF($B536="","",IFERROR(INDEX(書籍!$B$2:$B$2000,MATCH($B536,書籍!$A$2:$A$2000,0)),"（沒建檔）"))</f>
        <v/>
      </c>
      <c r="F536" s="9" t="str">
        <f aca="false">IF($A536="","",IFERROR(INDEX(會員!$B$2:$B$2000,MATCH($A536,會員!$A$2:$A$2000,0)),"（沒建檔）"))</f>
        <v/>
      </c>
      <c r="G536" s="10" t="str">
        <f aca="false">IF($B536="","",IF($D536="","未還","已還"))</f>
        <v/>
      </c>
    </row>
    <row r="537" customFormat="false" ht="15" hidden="false" customHeight="false" outlineLevel="0" collapsed="false">
      <c r="E537" s="9" t="str">
        <f aca="false">IF($B537="","",IFERROR(INDEX(書籍!$B$2:$B$2000,MATCH($B537,書籍!$A$2:$A$2000,0)),"（沒建檔）"))</f>
        <v/>
      </c>
      <c r="F537" s="9" t="str">
        <f aca="false">IF($A537="","",IFERROR(INDEX(會員!$B$2:$B$2000,MATCH($A537,會員!$A$2:$A$2000,0)),"（沒建檔）"))</f>
        <v/>
      </c>
      <c r="G537" s="10" t="str">
        <f aca="false">IF($B537="","",IF($D537="","未還","已還"))</f>
        <v/>
      </c>
    </row>
    <row r="538" customFormat="false" ht="15" hidden="false" customHeight="false" outlineLevel="0" collapsed="false">
      <c r="E538" s="9" t="str">
        <f aca="false">IF($B538="","",IFERROR(INDEX(書籍!$B$2:$B$2000,MATCH($B538,書籍!$A$2:$A$2000,0)),"（沒建檔）"))</f>
        <v/>
      </c>
      <c r="F538" s="9" t="str">
        <f aca="false">IF($A538="","",IFERROR(INDEX(會員!$B$2:$B$2000,MATCH($A538,會員!$A$2:$A$2000,0)),"（沒建檔）"))</f>
        <v/>
      </c>
      <c r="G538" s="10" t="str">
        <f aca="false">IF($B538="","",IF($D538="","未還","已還"))</f>
        <v/>
      </c>
    </row>
    <row r="539" customFormat="false" ht="15" hidden="false" customHeight="false" outlineLevel="0" collapsed="false">
      <c r="E539" s="9" t="str">
        <f aca="false">IF($B539="","",IFERROR(INDEX(書籍!$B$2:$B$2000,MATCH($B539,書籍!$A$2:$A$2000,0)),"（沒建檔）"))</f>
        <v/>
      </c>
      <c r="F539" s="9" t="str">
        <f aca="false">IF($A539="","",IFERROR(INDEX(會員!$B$2:$B$2000,MATCH($A539,會員!$A$2:$A$2000,0)),"（沒建檔）"))</f>
        <v/>
      </c>
      <c r="G539" s="10" t="str">
        <f aca="false">IF($B539="","",IF($D539="","未還","已還"))</f>
        <v/>
      </c>
    </row>
    <row r="540" customFormat="false" ht="15" hidden="false" customHeight="false" outlineLevel="0" collapsed="false">
      <c r="E540" s="9" t="str">
        <f aca="false">IF($B540="","",IFERROR(INDEX(書籍!$B$2:$B$2000,MATCH($B540,書籍!$A$2:$A$2000,0)),"（沒建檔）"))</f>
        <v/>
      </c>
      <c r="F540" s="9" t="str">
        <f aca="false">IF($A540="","",IFERROR(INDEX(會員!$B$2:$B$2000,MATCH($A540,會員!$A$2:$A$2000,0)),"（沒建檔）"))</f>
        <v/>
      </c>
      <c r="G540" s="10" t="str">
        <f aca="false">IF($B540="","",IF($D540="","未還","已還"))</f>
        <v/>
      </c>
    </row>
    <row r="541" customFormat="false" ht="15" hidden="false" customHeight="false" outlineLevel="0" collapsed="false">
      <c r="E541" s="9" t="str">
        <f aca="false">IF($B541="","",IFERROR(INDEX(書籍!$B$2:$B$2000,MATCH($B541,書籍!$A$2:$A$2000,0)),"（沒建檔）"))</f>
        <v/>
      </c>
      <c r="F541" s="9" t="str">
        <f aca="false">IF($A541="","",IFERROR(INDEX(會員!$B$2:$B$2000,MATCH($A541,會員!$A$2:$A$2000,0)),"（沒建檔）"))</f>
        <v/>
      </c>
      <c r="G541" s="10" t="str">
        <f aca="false">IF($B541="","",IF($D541="","未還","已還"))</f>
        <v/>
      </c>
    </row>
    <row r="542" customFormat="false" ht="15" hidden="false" customHeight="false" outlineLevel="0" collapsed="false">
      <c r="E542" s="9" t="str">
        <f aca="false">IF($B542="","",IFERROR(INDEX(書籍!$B$2:$B$2000,MATCH($B542,書籍!$A$2:$A$2000,0)),"（沒建檔）"))</f>
        <v/>
      </c>
      <c r="F542" s="9" t="str">
        <f aca="false">IF($A542="","",IFERROR(INDEX(會員!$B$2:$B$2000,MATCH($A542,會員!$A$2:$A$2000,0)),"（沒建檔）"))</f>
        <v/>
      </c>
      <c r="G542" s="10" t="str">
        <f aca="false">IF($B542="","",IF($D542="","未還","已還"))</f>
        <v/>
      </c>
    </row>
    <row r="543" customFormat="false" ht="15" hidden="false" customHeight="false" outlineLevel="0" collapsed="false">
      <c r="E543" s="9" t="str">
        <f aca="false">IF($B543="","",IFERROR(INDEX(書籍!$B$2:$B$2000,MATCH($B543,書籍!$A$2:$A$2000,0)),"（沒建檔）"))</f>
        <v/>
      </c>
      <c r="F543" s="9" t="str">
        <f aca="false">IF($A543="","",IFERROR(INDEX(會員!$B$2:$B$2000,MATCH($A543,會員!$A$2:$A$2000,0)),"（沒建檔）"))</f>
        <v/>
      </c>
      <c r="G543" s="10" t="str">
        <f aca="false">IF($B543="","",IF($D543="","未還","已還"))</f>
        <v/>
      </c>
    </row>
    <row r="544" customFormat="false" ht="15" hidden="false" customHeight="false" outlineLevel="0" collapsed="false">
      <c r="E544" s="9" t="str">
        <f aca="false">IF($B544="","",IFERROR(INDEX(書籍!$B$2:$B$2000,MATCH($B544,書籍!$A$2:$A$2000,0)),"（沒建檔）"))</f>
        <v/>
      </c>
      <c r="F544" s="9" t="str">
        <f aca="false">IF($A544="","",IFERROR(INDEX(會員!$B$2:$B$2000,MATCH($A544,會員!$A$2:$A$2000,0)),"（沒建檔）"))</f>
        <v/>
      </c>
      <c r="G544" s="10" t="str">
        <f aca="false">IF($B544="","",IF($D544="","未還","已還"))</f>
        <v/>
      </c>
    </row>
    <row r="545" customFormat="false" ht="15" hidden="false" customHeight="false" outlineLevel="0" collapsed="false">
      <c r="E545" s="9" t="str">
        <f aca="false">IF($B545="","",IFERROR(INDEX(書籍!$B$2:$B$2000,MATCH($B545,書籍!$A$2:$A$2000,0)),"（沒建檔）"))</f>
        <v/>
      </c>
      <c r="F545" s="9" t="str">
        <f aca="false">IF($A545="","",IFERROR(INDEX(會員!$B$2:$B$2000,MATCH($A545,會員!$A$2:$A$2000,0)),"（沒建檔）"))</f>
        <v/>
      </c>
      <c r="G545" s="10" t="str">
        <f aca="false">IF($B545="","",IF($D545="","未還","已還"))</f>
        <v/>
      </c>
    </row>
    <row r="546" customFormat="false" ht="15" hidden="false" customHeight="false" outlineLevel="0" collapsed="false">
      <c r="E546" s="9" t="str">
        <f aca="false">IF($B546="","",IFERROR(INDEX(書籍!$B$2:$B$2000,MATCH($B546,書籍!$A$2:$A$2000,0)),"（沒建檔）"))</f>
        <v/>
      </c>
      <c r="F546" s="9" t="str">
        <f aca="false">IF($A546="","",IFERROR(INDEX(會員!$B$2:$B$2000,MATCH($A546,會員!$A$2:$A$2000,0)),"（沒建檔）"))</f>
        <v/>
      </c>
      <c r="G546" s="10" t="str">
        <f aca="false">IF($B546="","",IF($D546="","未還","已還"))</f>
        <v/>
      </c>
    </row>
    <row r="547" customFormat="false" ht="15" hidden="false" customHeight="false" outlineLevel="0" collapsed="false">
      <c r="E547" s="9" t="str">
        <f aca="false">IF($B547="","",IFERROR(INDEX(書籍!$B$2:$B$2000,MATCH($B547,書籍!$A$2:$A$2000,0)),"（沒建檔）"))</f>
        <v/>
      </c>
      <c r="F547" s="9" t="str">
        <f aca="false">IF($A547="","",IFERROR(INDEX(會員!$B$2:$B$2000,MATCH($A547,會員!$A$2:$A$2000,0)),"（沒建檔）"))</f>
        <v/>
      </c>
      <c r="G547" s="10" t="str">
        <f aca="false">IF($B547="","",IF($D547="","未還","已還"))</f>
        <v/>
      </c>
    </row>
    <row r="548" customFormat="false" ht="15" hidden="false" customHeight="false" outlineLevel="0" collapsed="false">
      <c r="E548" s="9" t="str">
        <f aca="false">IF($B548="","",IFERROR(INDEX(書籍!$B$2:$B$2000,MATCH($B548,書籍!$A$2:$A$2000,0)),"（沒建檔）"))</f>
        <v/>
      </c>
      <c r="F548" s="9" t="str">
        <f aca="false">IF($A548="","",IFERROR(INDEX(會員!$B$2:$B$2000,MATCH($A548,會員!$A$2:$A$2000,0)),"（沒建檔）"))</f>
        <v/>
      </c>
      <c r="G548" s="10" t="str">
        <f aca="false">IF($B548="","",IF($D548="","未還","已還"))</f>
        <v/>
      </c>
    </row>
    <row r="549" customFormat="false" ht="15" hidden="false" customHeight="false" outlineLevel="0" collapsed="false">
      <c r="E549" s="9" t="str">
        <f aca="false">IF($B549="","",IFERROR(INDEX(書籍!$B$2:$B$2000,MATCH($B549,書籍!$A$2:$A$2000,0)),"（沒建檔）"))</f>
        <v/>
      </c>
      <c r="F549" s="9" t="str">
        <f aca="false">IF($A549="","",IFERROR(INDEX(會員!$B$2:$B$2000,MATCH($A549,會員!$A$2:$A$2000,0)),"（沒建檔）"))</f>
        <v/>
      </c>
      <c r="G549" s="10" t="str">
        <f aca="false">IF($B549="","",IF($D549="","未還","已還"))</f>
        <v/>
      </c>
    </row>
    <row r="550" customFormat="false" ht="15" hidden="false" customHeight="false" outlineLevel="0" collapsed="false">
      <c r="E550" s="9" t="str">
        <f aca="false">IF($B550="","",IFERROR(INDEX(書籍!$B$2:$B$2000,MATCH($B550,書籍!$A$2:$A$2000,0)),"（沒建檔）"))</f>
        <v/>
      </c>
      <c r="F550" s="9" t="str">
        <f aca="false">IF($A550="","",IFERROR(INDEX(會員!$B$2:$B$2000,MATCH($A550,會員!$A$2:$A$2000,0)),"（沒建檔）"))</f>
        <v/>
      </c>
      <c r="G550" s="10" t="str">
        <f aca="false">IF($B550="","",IF($D550="","未還","已還"))</f>
        <v/>
      </c>
    </row>
    <row r="551" customFormat="false" ht="15" hidden="false" customHeight="false" outlineLevel="0" collapsed="false">
      <c r="E551" s="9" t="str">
        <f aca="false">IF($B551="","",IFERROR(INDEX(書籍!$B$2:$B$2000,MATCH($B551,書籍!$A$2:$A$2000,0)),"（沒建檔）"))</f>
        <v/>
      </c>
      <c r="F551" s="9" t="str">
        <f aca="false">IF($A551="","",IFERROR(INDEX(會員!$B$2:$B$2000,MATCH($A551,會員!$A$2:$A$2000,0)),"（沒建檔）"))</f>
        <v/>
      </c>
      <c r="G551" s="10" t="str">
        <f aca="false">IF($B551="","",IF($D551="","未還","已還"))</f>
        <v/>
      </c>
    </row>
    <row r="552" customFormat="false" ht="15" hidden="false" customHeight="false" outlineLevel="0" collapsed="false">
      <c r="E552" s="9" t="str">
        <f aca="false">IF($B552="","",IFERROR(INDEX(書籍!$B$2:$B$2000,MATCH($B552,書籍!$A$2:$A$2000,0)),"（沒建檔）"))</f>
        <v/>
      </c>
      <c r="F552" s="9" t="str">
        <f aca="false">IF($A552="","",IFERROR(INDEX(會員!$B$2:$B$2000,MATCH($A552,會員!$A$2:$A$2000,0)),"（沒建檔）"))</f>
        <v/>
      </c>
      <c r="G552" s="10" t="str">
        <f aca="false">IF($B552="","",IF($D552="","未還","已還"))</f>
        <v/>
      </c>
    </row>
    <row r="553" customFormat="false" ht="15" hidden="false" customHeight="false" outlineLevel="0" collapsed="false">
      <c r="E553" s="9" t="str">
        <f aca="false">IF($B553="","",IFERROR(INDEX(書籍!$B$2:$B$2000,MATCH($B553,書籍!$A$2:$A$2000,0)),"（沒建檔）"))</f>
        <v/>
      </c>
      <c r="F553" s="9" t="str">
        <f aca="false">IF($A553="","",IFERROR(INDEX(會員!$B$2:$B$2000,MATCH($A553,會員!$A$2:$A$2000,0)),"（沒建檔）"))</f>
        <v/>
      </c>
      <c r="G553" s="10" t="str">
        <f aca="false">IF($B553="","",IF($D553="","未還","已還"))</f>
        <v/>
      </c>
    </row>
    <row r="554" customFormat="false" ht="15" hidden="false" customHeight="false" outlineLevel="0" collapsed="false">
      <c r="E554" s="9" t="str">
        <f aca="false">IF($B554="","",IFERROR(INDEX(書籍!$B$2:$B$2000,MATCH($B554,書籍!$A$2:$A$2000,0)),"（沒建檔）"))</f>
        <v/>
      </c>
      <c r="F554" s="9" t="str">
        <f aca="false">IF($A554="","",IFERROR(INDEX(會員!$B$2:$B$2000,MATCH($A554,會員!$A$2:$A$2000,0)),"（沒建檔）"))</f>
        <v/>
      </c>
      <c r="G554" s="10" t="str">
        <f aca="false">IF($B554="","",IF($D554="","未還","已還"))</f>
        <v/>
      </c>
    </row>
    <row r="555" customFormat="false" ht="15" hidden="false" customHeight="false" outlineLevel="0" collapsed="false">
      <c r="E555" s="9" t="str">
        <f aca="false">IF($B555="","",IFERROR(INDEX(書籍!$B$2:$B$2000,MATCH($B555,書籍!$A$2:$A$2000,0)),"（沒建檔）"))</f>
        <v/>
      </c>
      <c r="F555" s="9" t="str">
        <f aca="false">IF($A555="","",IFERROR(INDEX(會員!$B$2:$B$2000,MATCH($A555,會員!$A$2:$A$2000,0)),"（沒建檔）"))</f>
        <v/>
      </c>
      <c r="G555" s="10" t="str">
        <f aca="false">IF($B555="","",IF($D555="","未還","已還"))</f>
        <v/>
      </c>
    </row>
    <row r="556" customFormat="false" ht="15" hidden="false" customHeight="false" outlineLevel="0" collapsed="false">
      <c r="E556" s="9" t="str">
        <f aca="false">IF($B556="","",IFERROR(INDEX(書籍!$B$2:$B$2000,MATCH($B556,書籍!$A$2:$A$2000,0)),"（沒建檔）"))</f>
        <v/>
      </c>
      <c r="F556" s="9" t="str">
        <f aca="false">IF($A556="","",IFERROR(INDEX(會員!$B$2:$B$2000,MATCH($A556,會員!$A$2:$A$2000,0)),"（沒建檔）"))</f>
        <v/>
      </c>
      <c r="G556" s="10" t="str">
        <f aca="false">IF($B556="","",IF($D556="","未還","已還"))</f>
        <v/>
      </c>
    </row>
    <row r="557" customFormat="false" ht="15" hidden="false" customHeight="false" outlineLevel="0" collapsed="false">
      <c r="E557" s="9" t="str">
        <f aca="false">IF($B557="","",IFERROR(INDEX(書籍!$B$2:$B$2000,MATCH($B557,書籍!$A$2:$A$2000,0)),"（沒建檔）"))</f>
        <v/>
      </c>
      <c r="F557" s="9" t="str">
        <f aca="false">IF($A557="","",IFERROR(INDEX(會員!$B$2:$B$2000,MATCH($A557,會員!$A$2:$A$2000,0)),"（沒建檔）"))</f>
        <v/>
      </c>
      <c r="G557" s="10" t="str">
        <f aca="false">IF($B557="","",IF($D557="","未還","已還"))</f>
        <v/>
      </c>
    </row>
    <row r="558" customFormat="false" ht="15" hidden="false" customHeight="false" outlineLevel="0" collapsed="false">
      <c r="E558" s="9" t="str">
        <f aca="false">IF($B558="","",IFERROR(INDEX(書籍!$B$2:$B$2000,MATCH($B558,書籍!$A$2:$A$2000,0)),"（沒建檔）"))</f>
        <v/>
      </c>
      <c r="F558" s="9" t="str">
        <f aca="false">IF($A558="","",IFERROR(INDEX(會員!$B$2:$B$2000,MATCH($A558,會員!$A$2:$A$2000,0)),"（沒建檔）"))</f>
        <v/>
      </c>
      <c r="G558" s="10" t="str">
        <f aca="false">IF($B558="","",IF($D558="","未還","已還"))</f>
        <v/>
      </c>
    </row>
    <row r="559" customFormat="false" ht="15" hidden="false" customHeight="false" outlineLevel="0" collapsed="false">
      <c r="E559" s="9" t="str">
        <f aca="false">IF($B559="","",IFERROR(INDEX(書籍!$B$2:$B$2000,MATCH($B559,書籍!$A$2:$A$2000,0)),"（沒建檔）"))</f>
        <v/>
      </c>
      <c r="F559" s="9" t="str">
        <f aca="false">IF($A559="","",IFERROR(INDEX(會員!$B$2:$B$2000,MATCH($A559,會員!$A$2:$A$2000,0)),"（沒建檔）"))</f>
        <v/>
      </c>
      <c r="G559" s="10" t="str">
        <f aca="false">IF($B559="","",IF($D559="","未還","已還"))</f>
        <v/>
      </c>
    </row>
    <row r="560" customFormat="false" ht="15" hidden="false" customHeight="false" outlineLevel="0" collapsed="false">
      <c r="E560" s="9" t="str">
        <f aca="false">IF($B560="","",IFERROR(INDEX(書籍!$B$2:$B$2000,MATCH($B560,書籍!$A$2:$A$2000,0)),"（沒建檔）"))</f>
        <v/>
      </c>
      <c r="F560" s="9" t="str">
        <f aca="false">IF($A560="","",IFERROR(INDEX(會員!$B$2:$B$2000,MATCH($A560,會員!$A$2:$A$2000,0)),"（沒建檔）"))</f>
        <v/>
      </c>
      <c r="G560" s="10" t="str">
        <f aca="false">IF($B560="","",IF($D560="","未還","已還"))</f>
        <v/>
      </c>
    </row>
    <row r="561" customFormat="false" ht="15" hidden="false" customHeight="false" outlineLevel="0" collapsed="false">
      <c r="E561" s="9" t="str">
        <f aca="false">IF($B561="","",IFERROR(INDEX(書籍!$B$2:$B$2000,MATCH($B561,書籍!$A$2:$A$2000,0)),"（沒建檔）"))</f>
        <v/>
      </c>
      <c r="F561" s="9" t="str">
        <f aca="false">IF($A561="","",IFERROR(INDEX(會員!$B$2:$B$2000,MATCH($A561,會員!$A$2:$A$2000,0)),"（沒建檔）"))</f>
        <v/>
      </c>
      <c r="G561" s="10" t="str">
        <f aca="false">IF($B561="","",IF($D561="","未還","已還"))</f>
        <v/>
      </c>
    </row>
    <row r="562" customFormat="false" ht="15" hidden="false" customHeight="false" outlineLevel="0" collapsed="false">
      <c r="E562" s="9" t="str">
        <f aca="false">IF($B562="","",IFERROR(INDEX(書籍!$B$2:$B$2000,MATCH($B562,書籍!$A$2:$A$2000,0)),"（沒建檔）"))</f>
        <v/>
      </c>
      <c r="F562" s="9" t="str">
        <f aca="false">IF($A562="","",IFERROR(INDEX(會員!$B$2:$B$2000,MATCH($A562,會員!$A$2:$A$2000,0)),"（沒建檔）"))</f>
        <v/>
      </c>
      <c r="G562" s="10" t="str">
        <f aca="false">IF($B562="","",IF($D562="","未還","已還"))</f>
        <v/>
      </c>
    </row>
    <row r="563" customFormat="false" ht="15" hidden="false" customHeight="false" outlineLevel="0" collapsed="false">
      <c r="E563" s="9" t="str">
        <f aca="false">IF($B563="","",IFERROR(INDEX(書籍!$B$2:$B$2000,MATCH($B563,書籍!$A$2:$A$2000,0)),"（沒建檔）"))</f>
        <v/>
      </c>
      <c r="F563" s="9" t="str">
        <f aca="false">IF($A563="","",IFERROR(INDEX(會員!$B$2:$B$2000,MATCH($A563,會員!$A$2:$A$2000,0)),"（沒建檔）"))</f>
        <v/>
      </c>
      <c r="G563" s="10" t="str">
        <f aca="false">IF($B563="","",IF($D563="","未還","已還"))</f>
        <v/>
      </c>
    </row>
    <row r="564" customFormat="false" ht="15" hidden="false" customHeight="false" outlineLevel="0" collapsed="false">
      <c r="E564" s="9" t="str">
        <f aca="false">IF($B564="","",IFERROR(INDEX(書籍!$B$2:$B$2000,MATCH($B564,書籍!$A$2:$A$2000,0)),"（沒建檔）"))</f>
        <v/>
      </c>
      <c r="F564" s="9" t="str">
        <f aca="false">IF($A564="","",IFERROR(INDEX(會員!$B$2:$B$2000,MATCH($A564,會員!$A$2:$A$2000,0)),"（沒建檔）"))</f>
        <v/>
      </c>
      <c r="G564" s="10" t="str">
        <f aca="false">IF($B564="","",IF($D564="","未還","已還"))</f>
        <v/>
      </c>
    </row>
    <row r="565" customFormat="false" ht="15" hidden="false" customHeight="false" outlineLevel="0" collapsed="false">
      <c r="E565" s="9" t="str">
        <f aca="false">IF($B565="","",IFERROR(INDEX(書籍!$B$2:$B$2000,MATCH($B565,書籍!$A$2:$A$2000,0)),"（沒建檔）"))</f>
        <v/>
      </c>
      <c r="F565" s="9" t="str">
        <f aca="false">IF($A565="","",IFERROR(INDEX(會員!$B$2:$B$2000,MATCH($A565,會員!$A$2:$A$2000,0)),"（沒建檔）"))</f>
        <v/>
      </c>
      <c r="G565" s="10" t="str">
        <f aca="false">IF($B565="","",IF($D565="","未還","已還"))</f>
        <v/>
      </c>
    </row>
    <row r="566" customFormat="false" ht="15" hidden="false" customHeight="false" outlineLevel="0" collapsed="false">
      <c r="E566" s="9" t="str">
        <f aca="false">IF($B566="","",IFERROR(INDEX(書籍!$B$2:$B$2000,MATCH($B566,書籍!$A$2:$A$2000,0)),"（沒建檔）"))</f>
        <v/>
      </c>
      <c r="F566" s="9" t="str">
        <f aca="false">IF($A566="","",IFERROR(INDEX(會員!$B$2:$B$2000,MATCH($A566,會員!$A$2:$A$2000,0)),"（沒建檔）"))</f>
        <v/>
      </c>
      <c r="G566" s="10" t="str">
        <f aca="false">IF($B566="","",IF($D566="","未還","已還"))</f>
        <v/>
      </c>
    </row>
    <row r="567" customFormat="false" ht="15" hidden="false" customHeight="false" outlineLevel="0" collapsed="false">
      <c r="E567" s="9" t="str">
        <f aca="false">IF($B567="","",IFERROR(INDEX(書籍!$B$2:$B$2000,MATCH($B567,書籍!$A$2:$A$2000,0)),"（沒建檔）"))</f>
        <v/>
      </c>
      <c r="F567" s="9" t="str">
        <f aca="false">IF($A567="","",IFERROR(INDEX(會員!$B$2:$B$2000,MATCH($A567,會員!$A$2:$A$2000,0)),"（沒建檔）"))</f>
        <v/>
      </c>
      <c r="G567" s="10" t="str">
        <f aca="false">IF($B567="","",IF($D567="","未還","已還"))</f>
        <v/>
      </c>
    </row>
    <row r="568" customFormat="false" ht="15" hidden="false" customHeight="false" outlineLevel="0" collapsed="false">
      <c r="E568" s="9" t="str">
        <f aca="false">IF($B568="","",IFERROR(INDEX(書籍!$B$2:$B$2000,MATCH($B568,書籍!$A$2:$A$2000,0)),"（沒建檔）"))</f>
        <v/>
      </c>
      <c r="F568" s="9" t="str">
        <f aca="false">IF($A568="","",IFERROR(INDEX(會員!$B$2:$B$2000,MATCH($A568,會員!$A$2:$A$2000,0)),"（沒建檔）"))</f>
        <v/>
      </c>
      <c r="G568" s="10" t="str">
        <f aca="false">IF($B568="","",IF($D568="","未還","已還"))</f>
        <v/>
      </c>
    </row>
    <row r="569" customFormat="false" ht="15" hidden="false" customHeight="false" outlineLevel="0" collapsed="false">
      <c r="E569" s="9" t="str">
        <f aca="false">IF($B569="","",IFERROR(INDEX(書籍!$B$2:$B$2000,MATCH($B569,書籍!$A$2:$A$2000,0)),"（沒建檔）"))</f>
        <v/>
      </c>
      <c r="F569" s="9" t="str">
        <f aca="false">IF($A569="","",IFERROR(INDEX(會員!$B$2:$B$2000,MATCH($A569,會員!$A$2:$A$2000,0)),"（沒建檔）"))</f>
        <v/>
      </c>
      <c r="G569" s="10" t="str">
        <f aca="false">IF($B569="","",IF($D569="","未還","已還"))</f>
        <v/>
      </c>
    </row>
    <row r="570" customFormat="false" ht="15" hidden="false" customHeight="false" outlineLevel="0" collapsed="false">
      <c r="E570" s="9" t="str">
        <f aca="false">IF($B570="","",IFERROR(INDEX(書籍!$B$2:$B$2000,MATCH($B570,書籍!$A$2:$A$2000,0)),"（沒建檔）"))</f>
        <v/>
      </c>
      <c r="F570" s="9" t="str">
        <f aca="false">IF($A570="","",IFERROR(INDEX(會員!$B$2:$B$2000,MATCH($A570,會員!$A$2:$A$2000,0)),"（沒建檔）"))</f>
        <v/>
      </c>
      <c r="G570" s="10" t="str">
        <f aca="false">IF($B570="","",IF($D570="","未還","已還"))</f>
        <v/>
      </c>
    </row>
    <row r="571" customFormat="false" ht="15" hidden="false" customHeight="false" outlineLevel="0" collapsed="false">
      <c r="E571" s="9" t="str">
        <f aca="false">IF($B571="","",IFERROR(INDEX(書籍!$B$2:$B$2000,MATCH($B571,書籍!$A$2:$A$2000,0)),"（沒建檔）"))</f>
        <v/>
      </c>
      <c r="F571" s="9" t="str">
        <f aca="false">IF($A571="","",IFERROR(INDEX(會員!$B$2:$B$2000,MATCH($A571,會員!$A$2:$A$2000,0)),"（沒建檔）"))</f>
        <v/>
      </c>
      <c r="G571" s="10" t="str">
        <f aca="false">IF($B571="","",IF($D571="","未還","已還"))</f>
        <v/>
      </c>
    </row>
    <row r="572" customFormat="false" ht="15" hidden="false" customHeight="false" outlineLevel="0" collapsed="false">
      <c r="E572" s="9" t="str">
        <f aca="false">IF($B572="","",IFERROR(INDEX(書籍!$B$2:$B$2000,MATCH($B572,書籍!$A$2:$A$2000,0)),"（沒建檔）"))</f>
        <v/>
      </c>
      <c r="F572" s="9" t="str">
        <f aca="false">IF($A572="","",IFERROR(INDEX(會員!$B$2:$B$2000,MATCH($A572,會員!$A$2:$A$2000,0)),"（沒建檔）"))</f>
        <v/>
      </c>
      <c r="G572" s="10" t="str">
        <f aca="false">IF($B572="","",IF($D572="","未還","已還"))</f>
        <v/>
      </c>
    </row>
    <row r="573" customFormat="false" ht="15" hidden="false" customHeight="false" outlineLevel="0" collapsed="false">
      <c r="E573" s="9" t="str">
        <f aca="false">IF($B573="","",IFERROR(INDEX(書籍!$B$2:$B$2000,MATCH($B573,書籍!$A$2:$A$2000,0)),"（沒建檔）"))</f>
        <v/>
      </c>
      <c r="F573" s="9" t="str">
        <f aca="false">IF($A573="","",IFERROR(INDEX(會員!$B$2:$B$2000,MATCH($A573,會員!$A$2:$A$2000,0)),"（沒建檔）"))</f>
        <v/>
      </c>
      <c r="G573" s="10" t="str">
        <f aca="false">IF($B573="","",IF($D573="","未還","已還"))</f>
        <v/>
      </c>
    </row>
    <row r="574" customFormat="false" ht="15" hidden="false" customHeight="false" outlineLevel="0" collapsed="false">
      <c r="E574" s="9" t="str">
        <f aca="false">IF($B574="","",IFERROR(INDEX(書籍!$B$2:$B$2000,MATCH($B574,書籍!$A$2:$A$2000,0)),"（沒建檔）"))</f>
        <v/>
      </c>
      <c r="F574" s="9" t="str">
        <f aca="false">IF($A574="","",IFERROR(INDEX(會員!$B$2:$B$2000,MATCH($A574,會員!$A$2:$A$2000,0)),"（沒建檔）"))</f>
        <v/>
      </c>
      <c r="G574" s="10" t="str">
        <f aca="false">IF($B574="","",IF($D574="","未還","已還"))</f>
        <v/>
      </c>
    </row>
    <row r="575" customFormat="false" ht="15" hidden="false" customHeight="false" outlineLevel="0" collapsed="false">
      <c r="E575" s="9" t="str">
        <f aca="false">IF($B575="","",IFERROR(INDEX(書籍!$B$2:$B$2000,MATCH($B575,書籍!$A$2:$A$2000,0)),"（沒建檔）"))</f>
        <v/>
      </c>
      <c r="F575" s="9" t="str">
        <f aca="false">IF($A575="","",IFERROR(INDEX(會員!$B$2:$B$2000,MATCH($A575,會員!$A$2:$A$2000,0)),"（沒建檔）"))</f>
        <v/>
      </c>
      <c r="G575" s="10" t="str">
        <f aca="false">IF($B575="","",IF($D575="","未還","已還"))</f>
        <v/>
      </c>
    </row>
    <row r="576" customFormat="false" ht="15" hidden="false" customHeight="false" outlineLevel="0" collapsed="false">
      <c r="E576" s="9" t="str">
        <f aca="false">IF($B576="","",IFERROR(INDEX(書籍!$B$2:$B$2000,MATCH($B576,書籍!$A$2:$A$2000,0)),"（沒建檔）"))</f>
        <v/>
      </c>
      <c r="F576" s="9" t="str">
        <f aca="false">IF($A576="","",IFERROR(INDEX(會員!$B$2:$B$2000,MATCH($A576,會員!$A$2:$A$2000,0)),"（沒建檔）"))</f>
        <v/>
      </c>
      <c r="G576" s="10" t="str">
        <f aca="false">IF($B576="","",IF($D576="","未還","已還"))</f>
        <v/>
      </c>
    </row>
    <row r="577" customFormat="false" ht="15" hidden="false" customHeight="false" outlineLevel="0" collapsed="false">
      <c r="E577" s="9" t="str">
        <f aca="false">IF($B577="","",IFERROR(INDEX(書籍!$B$2:$B$2000,MATCH($B577,書籍!$A$2:$A$2000,0)),"（沒建檔）"))</f>
        <v/>
      </c>
      <c r="F577" s="9" t="str">
        <f aca="false">IF($A577="","",IFERROR(INDEX(會員!$B$2:$B$2000,MATCH($A577,會員!$A$2:$A$2000,0)),"（沒建檔）"))</f>
        <v/>
      </c>
      <c r="G577" s="10" t="str">
        <f aca="false">IF($B577="","",IF($D577="","未還","已還"))</f>
        <v/>
      </c>
    </row>
    <row r="578" customFormat="false" ht="15" hidden="false" customHeight="false" outlineLevel="0" collapsed="false">
      <c r="E578" s="9" t="str">
        <f aca="false">IF($B578="","",IFERROR(INDEX(書籍!$B$2:$B$2000,MATCH($B578,書籍!$A$2:$A$2000,0)),"（沒建檔）"))</f>
        <v/>
      </c>
      <c r="F578" s="9" t="str">
        <f aca="false">IF($A578="","",IFERROR(INDEX(會員!$B$2:$B$2000,MATCH($A578,會員!$A$2:$A$2000,0)),"（沒建檔）"))</f>
        <v/>
      </c>
      <c r="G578" s="10" t="str">
        <f aca="false">IF($B578="","",IF($D578="","未還","已還"))</f>
        <v/>
      </c>
    </row>
    <row r="579" customFormat="false" ht="15" hidden="false" customHeight="false" outlineLevel="0" collapsed="false">
      <c r="E579" s="9" t="str">
        <f aca="false">IF($B579="","",IFERROR(INDEX(書籍!$B$2:$B$2000,MATCH($B579,書籍!$A$2:$A$2000,0)),"（沒建檔）"))</f>
        <v/>
      </c>
      <c r="F579" s="9" t="str">
        <f aca="false">IF($A579="","",IFERROR(INDEX(會員!$B$2:$B$2000,MATCH($A579,會員!$A$2:$A$2000,0)),"（沒建檔）"))</f>
        <v/>
      </c>
      <c r="G579" s="10" t="str">
        <f aca="false">IF($B579="","",IF($D579="","未還","已還"))</f>
        <v/>
      </c>
    </row>
    <row r="580" customFormat="false" ht="15" hidden="false" customHeight="false" outlineLevel="0" collapsed="false">
      <c r="E580" s="9" t="str">
        <f aca="false">IF($B580="","",IFERROR(INDEX(書籍!$B$2:$B$2000,MATCH($B580,書籍!$A$2:$A$2000,0)),"（沒建檔）"))</f>
        <v/>
      </c>
      <c r="F580" s="9" t="str">
        <f aca="false">IF($A580="","",IFERROR(INDEX(會員!$B$2:$B$2000,MATCH($A580,會員!$A$2:$A$2000,0)),"（沒建檔）"))</f>
        <v/>
      </c>
      <c r="G580" s="10" t="str">
        <f aca="false">IF($B580="","",IF($D580="","未還","已還"))</f>
        <v/>
      </c>
    </row>
    <row r="581" customFormat="false" ht="15" hidden="false" customHeight="false" outlineLevel="0" collapsed="false">
      <c r="E581" s="9" t="str">
        <f aca="false">IF($B581="","",IFERROR(INDEX(書籍!$B$2:$B$2000,MATCH($B581,書籍!$A$2:$A$2000,0)),"（沒建檔）"))</f>
        <v/>
      </c>
      <c r="F581" s="9" t="str">
        <f aca="false">IF($A581="","",IFERROR(INDEX(會員!$B$2:$B$2000,MATCH($A581,會員!$A$2:$A$2000,0)),"（沒建檔）"))</f>
        <v/>
      </c>
      <c r="G581" s="10" t="str">
        <f aca="false">IF($B581="","",IF($D581="","未還","已還"))</f>
        <v/>
      </c>
    </row>
    <row r="582" customFormat="false" ht="15" hidden="false" customHeight="false" outlineLevel="0" collapsed="false">
      <c r="E582" s="9" t="str">
        <f aca="false">IF($B582="","",IFERROR(INDEX(書籍!$B$2:$B$2000,MATCH($B582,書籍!$A$2:$A$2000,0)),"（沒建檔）"))</f>
        <v/>
      </c>
      <c r="F582" s="9" t="str">
        <f aca="false">IF($A582="","",IFERROR(INDEX(會員!$B$2:$B$2000,MATCH($A582,會員!$A$2:$A$2000,0)),"（沒建檔）"))</f>
        <v/>
      </c>
      <c r="G582" s="10" t="str">
        <f aca="false">IF($B582="","",IF($D582="","未還","已還"))</f>
        <v/>
      </c>
    </row>
    <row r="583" customFormat="false" ht="15" hidden="false" customHeight="false" outlineLevel="0" collapsed="false">
      <c r="E583" s="9" t="str">
        <f aca="false">IF($B583="","",IFERROR(INDEX(書籍!$B$2:$B$2000,MATCH($B583,書籍!$A$2:$A$2000,0)),"（沒建檔）"))</f>
        <v/>
      </c>
      <c r="F583" s="9" t="str">
        <f aca="false">IF($A583="","",IFERROR(INDEX(會員!$B$2:$B$2000,MATCH($A583,會員!$A$2:$A$2000,0)),"（沒建檔）"))</f>
        <v/>
      </c>
      <c r="G583" s="10" t="str">
        <f aca="false">IF($B583="","",IF($D583="","未還","已還"))</f>
        <v/>
      </c>
    </row>
    <row r="584" customFormat="false" ht="15" hidden="false" customHeight="false" outlineLevel="0" collapsed="false">
      <c r="E584" s="9" t="str">
        <f aca="false">IF($B584="","",IFERROR(INDEX(書籍!$B$2:$B$2000,MATCH($B584,書籍!$A$2:$A$2000,0)),"（沒建檔）"))</f>
        <v/>
      </c>
      <c r="F584" s="9" t="str">
        <f aca="false">IF($A584="","",IFERROR(INDEX(會員!$B$2:$B$2000,MATCH($A584,會員!$A$2:$A$2000,0)),"（沒建檔）"))</f>
        <v/>
      </c>
      <c r="G584" s="10" t="str">
        <f aca="false">IF($B584="","",IF($D584="","未還","已還"))</f>
        <v/>
      </c>
    </row>
    <row r="585" customFormat="false" ht="15" hidden="false" customHeight="false" outlineLevel="0" collapsed="false">
      <c r="E585" s="9" t="str">
        <f aca="false">IF($B585="","",IFERROR(INDEX(書籍!$B$2:$B$2000,MATCH($B585,書籍!$A$2:$A$2000,0)),"（沒建檔）"))</f>
        <v/>
      </c>
      <c r="F585" s="9" t="str">
        <f aca="false">IF($A585="","",IFERROR(INDEX(會員!$B$2:$B$2000,MATCH($A585,會員!$A$2:$A$2000,0)),"（沒建檔）"))</f>
        <v/>
      </c>
      <c r="G585" s="10" t="str">
        <f aca="false">IF($B585="","",IF($D585="","未還","已還"))</f>
        <v/>
      </c>
    </row>
    <row r="586" customFormat="false" ht="15" hidden="false" customHeight="false" outlineLevel="0" collapsed="false">
      <c r="E586" s="9" t="str">
        <f aca="false">IF($B586="","",IFERROR(INDEX(書籍!$B$2:$B$2000,MATCH($B586,書籍!$A$2:$A$2000,0)),"（沒建檔）"))</f>
        <v/>
      </c>
      <c r="F586" s="9" t="str">
        <f aca="false">IF($A586="","",IFERROR(INDEX(會員!$B$2:$B$2000,MATCH($A586,會員!$A$2:$A$2000,0)),"（沒建檔）"))</f>
        <v/>
      </c>
      <c r="G586" s="10" t="str">
        <f aca="false">IF($B586="","",IF($D586="","未還","已還"))</f>
        <v/>
      </c>
    </row>
    <row r="587" customFormat="false" ht="15" hidden="false" customHeight="false" outlineLevel="0" collapsed="false">
      <c r="E587" s="9" t="str">
        <f aca="false">IF($B587="","",IFERROR(INDEX(書籍!$B$2:$B$2000,MATCH($B587,書籍!$A$2:$A$2000,0)),"（沒建檔）"))</f>
        <v/>
      </c>
      <c r="F587" s="9" t="str">
        <f aca="false">IF($A587="","",IFERROR(INDEX(會員!$B$2:$B$2000,MATCH($A587,會員!$A$2:$A$2000,0)),"（沒建檔）"))</f>
        <v/>
      </c>
      <c r="G587" s="10" t="str">
        <f aca="false">IF($B587="","",IF($D587="","未還","已還"))</f>
        <v/>
      </c>
    </row>
    <row r="588" customFormat="false" ht="15" hidden="false" customHeight="false" outlineLevel="0" collapsed="false">
      <c r="E588" s="9" t="str">
        <f aca="false">IF($B588="","",IFERROR(INDEX(書籍!$B$2:$B$2000,MATCH($B588,書籍!$A$2:$A$2000,0)),"（沒建檔）"))</f>
        <v/>
      </c>
      <c r="F588" s="9" t="str">
        <f aca="false">IF($A588="","",IFERROR(INDEX(會員!$B$2:$B$2000,MATCH($A588,會員!$A$2:$A$2000,0)),"（沒建檔）"))</f>
        <v/>
      </c>
      <c r="G588" s="10" t="str">
        <f aca="false">IF($B588="","",IF($D588="","未還","已還"))</f>
        <v/>
      </c>
    </row>
    <row r="589" customFormat="false" ht="15" hidden="false" customHeight="false" outlineLevel="0" collapsed="false">
      <c r="E589" s="9" t="str">
        <f aca="false">IF($B589="","",IFERROR(INDEX(書籍!$B$2:$B$2000,MATCH($B589,書籍!$A$2:$A$2000,0)),"（沒建檔）"))</f>
        <v/>
      </c>
      <c r="F589" s="9" t="str">
        <f aca="false">IF($A589="","",IFERROR(INDEX(會員!$B$2:$B$2000,MATCH($A589,會員!$A$2:$A$2000,0)),"（沒建檔）"))</f>
        <v/>
      </c>
      <c r="G589" s="10" t="str">
        <f aca="false">IF($B589="","",IF($D589="","未還","已還"))</f>
        <v/>
      </c>
    </row>
    <row r="590" customFormat="false" ht="15" hidden="false" customHeight="false" outlineLevel="0" collapsed="false">
      <c r="E590" s="9" t="str">
        <f aca="false">IF($B590="","",IFERROR(INDEX(書籍!$B$2:$B$2000,MATCH($B590,書籍!$A$2:$A$2000,0)),"（沒建檔）"))</f>
        <v/>
      </c>
      <c r="F590" s="9" t="str">
        <f aca="false">IF($A590="","",IFERROR(INDEX(會員!$B$2:$B$2000,MATCH($A590,會員!$A$2:$A$2000,0)),"（沒建檔）"))</f>
        <v/>
      </c>
      <c r="G590" s="10" t="str">
        <f aca="false">IF($B590="","",IF($D590="","未還","已還"))</f>
        <v/>
      </c>
    </row>
    <row r="591" customFormat="false" ht="15" hidden="false" customHeight="false" outlineLevel="0" collapsed="false">
      <c r="E591" s="9" t="str">
        <f aca="false">IF($B591="","",IFERROR(INDEX(書籍!$B$2:$B$2000,MATCH($B591,書籍!$A$2:$A$2000,0)),"（沒建檔）"))</f>
        <v/>
      </c>
      <c r="F591" s="9" t="str">
        <f aca="false">IF($A591="","",IFERROR(INDEX(會員!$B$2:$B$2000,MATCH($A591,會員!$A$2:$A$2000,0)),"（沒建檔）"))</f>
        <v/>
      </c>
      <c r="G591" s="10" t="str">
        <f aca="false">IF($B591="","",IF($D591="","未還","已還"))</f>
        <v/>
      </c>
    </row>
    <row r="592" customFormat="false" ht="15" hidden="false" customHeight="false" outlineLevel="0" collapsed="false">
      <c r="E592" s="9" t="str">
        <f aca="false">IF($B592="","",IFERROR(INDEX(書籍!$B$2:$B$2000,MATCH($B592,書籍!$A$2:$A$2000,0)),"（沒建檔）"))</f>
        <v/>
      </c>
      <c r="F592" s="9" t="str">
        <f aca="false">IF($A592="","",IFERROR(INDEX(會員!$B$2:$B$2000,MATCH($A592,會員!$A$2:$A$2000,0)),"（沒建檔）"))</f>
        <v/>
      </c>
      <c r="G592" s="10" t="str">
        <f aca="false">IF($B592="","",IF($D592="","未還","已還"))</f>
        <v/>
      </c>
    </row>
    <row r="593" customFormat="false" ht="15" hidden="false" customHeight="false" outlineLevel="0" collapsed="false">
      <c r="E593" s="9" t="str">
        <f aca="false">IF($B593="","",IFERROR(INDEX(書籍!$B$2:$B$2000,MATCH($B593,書籍!$A$2:$A$2000,0)),"（沒建檔）"))</f>
        <v/>
      </c>
      <c r="F593" s="9" t="str">
        <f aca="false">IF($A593="","",IFERROR(INDEX(會員!$B$2:$B$2000,MATCH($A593,會員!$A$2:$A$2000,0)),"（沒建檔）"))</f>
        <v/>
      </c>
      <c r="G593" s="10" t="str">
        <f aca="false">IF($B593="","",IF($D593="","未還","已還"))</f>
        <v/>
      </c>
    </row>
    <row r="594" customFormat="false" ht="15" hidden="false" customHeight="false" outlineLevel="0" collapsed="false">
      <c r="E594" s="9" t="str">
        <f aca="false">IF($B594="","",IFERROR(INDEX(書籍!$B$2:$B$2000,MATCH($B594,書籍!$A$2:$A$2000,0)),"（沒建檔）"))</f>
        <v/>
      </c>
      <c r="F594" s="9" t="str">
        <f aca="false">IF($A594="","",IFERROR(INDEX(會員!$B$2:$B$2000,MATCH($A594,會員!$A$2:$A$2000,0)),"（沒建檔）"))</f>
        <v/>
      </c>
      <c r="G594" s="10" t="str">
        <f aca="false">IF($B594="","",IF($D594="","未還","已還"))</f>
        <v/>
      </c>
    </row>
    <row r="595" customFormat="false" ht="15" hidden="false" customHeight="false" outlineLevel="0" collapsed="false">
      <c r="E595" s="9" t="str">
        <f aca="false">IF($B595="","",IFERROR(INDEX(書籍!$B$2:$B$2000,MATCH($B595,書籍!$A$2:$A$2000,0)),"（沒建檔）"))</f>
        <v/>
      </c>
      <c r="F595" s="9" t="str">
        <f aca="false">IF($A595="","",IFERROR(INDEX(會員!$B$2:$B$2000,MATCH($A595,會員!$A$2:$A$2000,0)),"（沒建檔）"))</f>
        <v/>
      </c>
      <c r="G595" s="10" t="str">
        <f aca="false">IF($B595="","",IF($D595="","未還","已還"))</f>
        <v/>
      </c>
    </row>
    <row r="596" customFormat="false" ht="15" hidden="false" customHeight="false" outlineLevel="0" collapsed="false">
      <c r="E596" s="9" t="str">
        <f aca="false">IF($B596="","",IFERROR(INDEX(書籍!$B$2:$B$2000,MATCH($B596,書籍!$A$2:$A$2000,0)),"（沒建檔）"))</f>
        <v/>
      </c>
      <c r="F596" s="9" t="str">
        <f aca="false">IF($A596="","",IFERROR(INDEX(會員!$B$2:$B$2000,MATCH($A596,會員!$A$2:$A$2000,0)),"（沒建檔）"))</f>
        <v/>
      </c>
      <c r="G596" s="10" t="str">
        <f aca="false">IF($B596="","",IF($D596="","未還","已還"))</f>
        <v/>
      </c>
    </row>
    <row r="597" customFormat="false" ht="15" hidden="false" customHeight="false" outlineLevel="0" collapsed="false">
      <c r="E597" s="9" t="str">
        <f aca="false">IF($B597="","",IFERROR(INDEX(書籍!$B$2:$B$2000,MATCH($B597,書籍!$A$2:$A$2000,0)),"（沒建檔）"))</f>
        <v/>
      </c>
      <c r="F597" s="9" t="str">
        <f aca="false">IF($A597="","",IFERROR(INDEX(會員!$B$2:$B$2000,MATCH($A597,會員!$A$2:$A$2000,0)),"（沒建檔）"))</f>
        <v/>
      </c>
      <c r="G597" s="10" t="str">
        <f aca="false">IF($B597="","",IF($D597="","未還","已還"))</f>
        <v/>
      </c>
    </row>
    <row r="598" customFormat="false" ht="15" hidden="false" customHeight="false" outlineLevel="0" collapsed="false">
      <c r="E598" s="9" t="str">
        <f aca="false">IF($B598="","",IFERROR(INDEX(書籍!$B$2:$B$2000,MATCH($B598,書籍!$A$2:$A$2000,0)),"（沒建檔）"))</f>
        <v/>
      </c>
      <c r="F598" s="9" t="str">
        <f aca="false">IF($A598="","",IFERROR(INDEX(會員!$B$2:$B$2000,MATCH($A598,會員!$A$2:$A$2000,0)),"（沒建檔）"))</f>
        <v/>
      </c>
      <c r="G598" s="10" t="str">
        <f aca="false">IF($B598="","",IF($D598="","未還","已還"))</f>
        <v/>
      </c>
    </row>
    <row r="599" customFormat="false" ht="15" hidden="false" customHeight="false" outlineLevel="0" collapsed="false">
      <c r="E599" s="9" t="str">
        <f aca="false">IF($B599="","",IFERROR(INDEX(書籍!$B$2:$B$2000,MATCH($B599,書籍!$A$2:$A$2000,0)),"（沒建檔）"))</f>
        <v/>
      </c>
      <c r="F599" s="9" t="str">
        <f aca="false">IF($A599="","",IFERROR(INDEX(會員!$B$2:$B$2000,MATCH($A599,會員!$A$2:$A$2000,0)),"（沒建檔）"))</f>
        <v/>
      </c>
      <c r="G599" s="10" t="str">
        <f aca="false">IF($B599="","",IF($D599="","未還","已還"))</f>
        <v/>
      </c>
    </row>
    <row r="600" customFormat="false" ht="15" hidden="false" customHeight="false" outlineLevel="0" collapsed="false">
      <c r="E600" s="9" t="str">
        <f aca="false">IF($B600="","",IFERROR(INDEX(書籍!$B$2:$B$2000,MATCH($B600,書籍!$A$2:$A$2000,0)),"（沒建檔）"))</f>
        <v/>
      </c>
      <c r="F600" s="9" t="str">
        <f aca="false">IF($A600="","",IFERROR(INDEX(會員!$B$2:$B$2000,MATCH($A600,會員!$A$2:$A$2000,0)),"（沒建檔）"))</f>
        <v/>
      </c>
      <c r="G600" s="10" t="str">
        <f aca="false">IF($B600="","",IF($D600="","未還","已還"))</f>
        <v/>
      </c>
    </row>
    <row r="601" customFormat="false" ht="15" hidden="false" customHeight="false" outlineLevel="0" collapsed="false">
      <c r="E601" s="9" t="str">
        <f aca="false">IF($B601="","",IFERROR(INDEX(書籍!$B$2:$B$2000,MATCH($B601,書籍!$A$2:$A$2000,0)),"（沒建檔）"))</f>
        <v/>
      </c>
      <c r="F601" s="9" t="str">
        <f aca="false">IF($A601="","",IFERROR(INDEX(會員!$B$2:$B$2000,MATCH($A601,會員!$A$2:$A$2000,0)),"（沒建檔）"))</f>
        <v/>
      </c>
      <c r="G601" s="10" t="str">
        <f aca="false">IF($B601="","",IF($D601="","未還","已還"))</f>
        <v/>
      </c>
    </row>
    <row r="602" customFormat="false" ht="15" hidden="false" customHeight="false" outlineLevel="0" collapsed="false">
      <c r="E602" s="9" t="str">
        <f aca="false">IF($B602="","",IFERROR(INDEX(書籍!$B$2:$B$2000,MATCH($B602,書籍!$A$2:$A$2000,0)),"（沒建檔）"))</f>
        <v/>
      </c>
      <c r="F602" s="9" t="str">
        <f aca="false">IF($A602="","",IFERROR(INDEX(會員!$B$2:$B$2000,MATCH($A602,會員!$A$2:$A$2000,0)),"（沒建檔）"))</f>
        <v/>
      </c>
      <c r="G602" s="10" t="str">
        <f aca="false">IF($B602="","",IF($D602="","未還","已還"))</f>
        <v/>
      </c>
    </row>
    <row r="603" customFormat="false" ht="15" hidden="false" customHeight="false" outlineLevel="0" collapsed="false">
      <c r="E603" s="9" t="str">
        <f aca="false">IF($B603="","",IFERROR(INDEX(書籍!$B$2:$B$2000,MATCH($B603,書籍!$A$2:$A$2000,0)),"（沒建檔）"))</f>
        <v/>
      </c>
      <c r="F603" s="9" t="str">
        <f aca="false">IF($A603="","",IFERROR(INDEX(會員!$B$2:$B$2000,MATCH($A603,會員!$A$2:$A$2000,0)),"（沒建檔）"))</f>
        <v/>
      </c>
      <c r="G603" s="10" t="str">
        <f aca="false">IF($B603="","",IF($D603="","未還","已還"))</f>
        <v/>
      </c>
    </row>
    <row r="604" customFormat="false" ht="15" hidden="false" customHeight="false" outlineLevel="0" collapsed="false">
      <c r="E604" s="9" t="str">
        <f aca="false">IF($B604="","",IFERROR(INDEX(書籍!$B$2:$B$2000,MATCH($B604,書籍!$A$2:$A$2000,0)),"（沒建檔）"))</f>
        <v/>
      </c>
      <c r="F604" s="9" t="str">
        <f aca="false">IF($A604="","",IFERROR(INDEX(會員!$B$2:$B$2000,MATCH($A604,會員!$A$2:$A$2000,0)),"（沒建檔）"))</f>
        <v/>
      </c>
      <c r="G604" s="10" t="str">
        <f aca="false">IF($B604="","",IF($D604="","未還","已還"))</f>
        <v/>
      </c>
    </row>
    <row r="605" customFormat="false" ht="15" hidden="false" customHeight="false" outlineLevel="0" collapsed="false">
      <c r="E605" s="9" t="str">
        <f aca="false">IF($B605="","",IFERROR(INDEX(書籍!$B$2:$B$2000,MATCH($B605,書籍!$A$2:$A$2000,0)),"（沒建檔）"))</f>
        <v/>
      </c>
      <c r="F605" s="9" t="str">
        <f aca="false">IF($A605="","",IFERROR(INDEX(會員!$B$2:$B$2000,MATCH($A605,會員!$A$2:$A$2000,0)),"（沒建檔）"))</f>
        <v/>
      </c>
      <c r="G605" s="10" t="str">
        <f aca="false">IF($B605="","",IF($D605="","未還","已還"))</f>
        <v/>
      </c>
    </row>
    <row r="606" customFormat="false" ht="15" hidden="false" customHeight="false" outlineLevel="0" collapsed="false">
      <c r="E606" s="9" t="str">
        <f aca="false">IF($B606="","",IFERROR(INDEX(書籍!$B$2:$B$2000,MATCH($B606,書籍!$A$2:$A$2000,0)),"（沒建檔）"))</f>
        <v/>
      </c>
      <c r="F606" s="9" t="str">
        <f aca="false">IF($A606="","",IFERROR(INDEX(會員!$B$2:$B$2000,MATCH($A606,會員!$A$2:$A$2000,0)),"（沒建檔）"))</f>
        <v/>
      </c>
      <c r="G606" s="10" t="str">
        <f aca="false">IF($B606="","",IF($D606="","未還","已還"))</f>
        <v/>
      </c>
    </row>
    <row r="607" customFormat="false" ht="15" hidden="false" customHeight="false" outlineLevel="0" collapsed="false">
      <c r="E607" s="9" t="str">
        <f aca="false">IF($B607="","",IFERROR(INDEX(書籍!$B$2:$B$2000,MATCH($B607,書籍!$A$2:$A$2000,0)),"（沒建檔）"))</f>
        <v/>
      </c>
      <c r="F607" s="9" t="str">
        <f aca="false">IF($A607="","",IFERROR(INDEX(會員!$B$2:$B$2000,MATCH($A607,會員!$A$2:$A$2000,0)),"（沒建檔）"))</f>
        <v/>
      </c>
      <c r="G607" s="10" t="str">
        <f aca="false">IF($B607="","",IF($D607="","未還","已還"))</f>
        <v/>
      </c>
    </row>
    <row r="608" customFormat="false" ht="15" hidden="false" customHeight="false" outlineLevel="0" collapsed="false">
      <c r="E608" s="9" t="str">
        <f aca="false">IF($B608="","",IFERROR(INDEX(書籍!$B$2:$B$2000,MATCH($B608,書籍!$A$2:$A$2000,0)),"（沒建檔）"))</f>
        <v/>
      </c>
      <c r="F608" s="9" t="str">
        <f aca="false">IF($A608="","",IFERROR(INDEX(會員!$B$2:$B$2000,MATCH($A608,會員!$A$2:$A$2000,0)),"（沒建檔）"))</f>
        <v/>
      </c>
      <c r="G608" s="10" t="str">
        <f aca="false">IF($B608="","",IF($D608="","未還","已還"))</f>
        <v/>
      </c>
    </row>
    <row r="609" customFormat="false" ht="15" hidden="false" customHeight="false" outlineLevel="0" collapsed="false">
      <c r="E609" s="9" t="str">
        <f aca="false">IF($B609="","",IFERROR(INDEX(書籍!$B$2:$B$2000,MATCH($B609,書籍!$A$2:$A$2000,0)),"（沒建檔）"))</f>
        <v/>
      </c>
      <c r="F609" s="9" t="str">
        <f aca="false">IF($A609="","",IFERROR(INDEX(會員!$B$2:$B$2000,MATCH($A609,會員!$A$2:$A$2000,0)),"（沒建檔）"))</f>
        <v/>
      </c>
      <c r="G609" s="10" t="str">
        <f aca="false">IF($B609="","",IF($D609="","未還","已還"))</f>
        <v/>
      </c>
    </row>
    <row r="610" customFormat="false" ht="15" hidden="false" customHeight="false" outlineLevel="0" collapsed="false">
      <c r="E610" s="9" t="str">
        <f aca="false">IF($B610="","",IFERROR(INDEX(書籍!$B$2:$B$2000,MATCH($B610,書籍!$A$2:$A$2000,0)),"（沒建檔）"))</f>
        <v/>
      </c>
      <c r="F610" s="9" t="str">
        <f aca="false">IF($A610="","",IFERROR(INDEX(會員!$B$2:$B$2000,MATCH($A610,會員!$A$2:$A$2000,0)),"（沒建檔）"))</f>
        <v/>
      </c>
      <c r="G610" s="10" t="str">
        <f aca="false">IF($B610="","",IF($D610="","未還","已還"))</f>
        <v/>
      </c>
    </row>
    <row r="611" customFormat="false" ht="15" hidden="false" customHeight="false" outlineLevel="0" collapsed="false">
      <c r="E611" s="9" t="str">
        <f aca="false">IF($B611="","",IFERROR(INDEX(書籍!$B$2:$B$2000,MATCH($B611,書籍!$A$2:$A$2000,0)),"（沒建檔）"))</f>
        <v/>
      </c>
      <c r="F611" s="9" t="str">
        <f aca="false">IF($A611="","",IFERROR(INDEX(會員!$B$2:$B$2000,MATCH($A611,會員!$A$2:$A$2000,0)),"（沒建檔）"))</f>
        <v/>
      </c>
      <c r="G611" s="10" t="str">
        <f aca="false">IF($B611="","",IF($D611="","未還","已還"))</f>
        <v/>
      </c>
    </row>
    <row r="612" customFormat="false" ht="15" hidden="false" customHeight="false" outlineLevel="0" collapsed="false">
      <c r="E612" s="9" t="str">
        <f aca="false">IF($B612="","",IFERROR(INDEX(書籍!$B$2:$B$2000,MATCH($B612,書籍!$A$2:$A$2000,0)),"（沒建檔）"))</f>
        <v/>
      </c>
      <c r="F612" s="9" t="str">
        <f aca="false">IF($A612="","",IFERROR(INDEX(會員!$B$2:$B$2000,MATCH($A612,會員!$A$2:$A$2000,0)),"（沒建檔）"))</f>
        <v/>
      </c>
      <c r="G612" s="10" t="str">
        <f aca="false">IF($B612="","",IF($D612="","未還","已還"))</f>
        <v/>
      </c>
    </row>
    <row r="613" customFormat="false" ht="15" hidden="false" customHeight="false" outlineLevel="0" collapsed="false">
      <c r="E613" s="9" t="str">
        <f aca="false">IF($B613="","",IFERROR(INDEX(書籍!$B$2:$B$2000,MATCH($B613,書籍!$A$2:$A$2000,0)),"（沒建檔）"))</f>
        <v/>
      </c>
      <c r="F613" s="9" t="str">
        <f aca="false">IF($A613="","",IFERROR(INDEX(會員!$B$2:$B$2000,MATCH($A613,會員!$A$2:$A$2000,0)),"（沒建檔）"))</f>
        <v/>
      </c>
      <c r="G613" s="10" t="str">
        <f aca="false">IF($B613="","",IF($D613="","未還","已還"))</f>
        <v/>
      </c>
    </row>
    <row r="614" customFormat="false" ht="15" hidden="false" customHeight="false" outlineLevel="0" collapsed="false">
      <c r="E614" s="9" t="str">
        <f aca="false">IF($B614="","",IFERROR(INDEX(書籍!$B$2:$B$2000,MATCH($B614,書籍!$A$2:$A$2000,0)),"（沒建檔）"))</f>
        <v/>
      </c>
      <c r="F614" s="9" t="str">
        <f aca="false">IF($A614="","",IFERROR(INDEX(會員!$B$2:$B$2000,MATCH($A614,會員!$A$2:$A$2000,0)),"（沒建檔）"))</f>
        <v/>
      </c>
      <c r="G614" s="10" t="str">
        <f aca="false">IF($B614="","",IF($D614="","未還","已還"))</f>
        <v/>
      </c>
    </row>
    <row r="615" customFormat="false" ht="15" hidden="false" customHeight="false" outlineLevel="0" collapsed="false">
      <c r="E615" s="9" t="str">
        <f aca="false">IF($B615="","",IFERROR(INDEX(書籍!$B$2:$B$2000,MATCH($B615,書籍!$A$2:$A$2000,0)),"（沒建檔）"))</f>
        <v/>
      </c>
      <c r="F615" s="9" t="str">
        <f aca="false">IF($A615="","",IFERROR(INDEX(會員!$B$2:$B$2000,MATCH($A615,會員!$A$2:$A$2000,0)),"（沒建檔）"))</f>
        <v/>
      </c>
      <c r="G615" s="10" t="str">
        <f aca="false">IF($B615="","",IF($D615="","未還","已還"))</f>
        <v/>
      </c>
    </row>
    <row r="616" customFormat="false" ht="15" hidden="false" customHeight="false" outlineLevel="0" collapsed="false">
      <c r="E616" s="9" t="str">
        <f aca="false">IF($B616="","",IFERROR(INDEX(書籍!$B$2:$B$2000,MATCH($B616,書籍!$A$2:$A$2000,0)),"（沒建檔）"))</f>
        <v/>
      </c>
      <c r="F616" s="9" t="str">
        <f aca="false">IF($A616="","",IFERROR(INDEX(會員!$B$2:$B$2000,MATCH($A616,會員!$A$2:$A$2000,0)),"（沒建檔）"))</f>
        <v/>
      </c>
      <c r="G616" s="10" t="str">
        <f aca="false">IF($B616="","",IF($D616="","未還","已還"))</f>
        <v/>
      </c>
    </row>
    <row r="617" customFormat="false" ht="15" hidden="false" customHeight="false" outlineLevel="0" collapsed="false">
      <c r="E617" s="9" t="str">
        <f aca="false">IF($B617="","",IFERROR(INDEX(書籍!$B$2:$B$2000,MATCH($B617,書籍!$A$2:$A$2000,0)),"（沒建檔）"))</f>
        <v/>
      </c>
      <c r="F617" s="9" t="str">
        <f aca="false">IF($A617="","",IFERROR(INDEX(會員!$B$2:$B$2000,MATCH($A617,會員!$A$2:$A$2000,0)),"（沒建檔）"))</f>
        <v/>
      </c>
      <c r="G617" s="10" t="str">
        <f aca="false">IF($B617="","",IF($D617="","未還","已還"))</f>
        <v/>
      </c>
    </row>
    <row r="618" customFormat="false" ht="15" hidden="false" customHeight="false" outlineLevel="0" collapsed="false">
      <c r="E618" s="9" t="str">
        <f aca="false">IF($B618="","",IFERROR(INDEX(書籍!$B$2:$B$2000,MATCH($B618,書籍!$A$2:$A$2000,0)),"（沒建檔）"))</f>
        <v/>
      </c>
      <c r="F618" s="9" t="str">
        <f aca="false">IF($A618="","",IFERROR(INDEX(會員!$B$2:$B$2000,MATCH($A618,會員!$A$2:$A$2000,0)),"（沒建檔）"))</f>
        <v/>
      </c>
      <c r="G618" s="10" t="str">
        <f aca="false">IF($B618="","",IF($D618="","未還","已還"))</f>
        <v/>
      </c>
    </row>
    <row r="619" customFormat="false" ht="15" hidden="false" customHeight="false" outlineLevel="0" collapsed="false">
      <c r="E619" s="9" t="str">
        <f aca="false">IF($B619="","",IFERROR(INDEX(書籍!$B$2:$B$2000,MATCH($B619,書籍!$A$2:$A$2000,0)),"（沒建檔）"))</f>
        <v/>
      </c>
      <c r="F619" s="9" t="str">
        <f aca="false">IF($A619="","",IFERROR(INDEX(會員!$B$2:$B$2000,MATCH($A619,會員!$A$2:$A$2000,0)),"（沒建檔）"))</f>
        <v/>
      </c>
      <c r="G619" s="10" t="str">
        <f aca="false">IF($B619="","",IF($D619="","未還","已還"))</f>
        <v/>
      </c>
    </row>
    <row r="620" customFormat="false" ht="15" hidden="false" customHeight="false" outlineLevel="0" collapsed="false">
      <c r="E620" s="9" t="str">
        <f aca="false">IF($B620="","",IFERROR(INDEX(書籍!$B$2:$B$2000,MATCH($B620,書籍!$A$2:$A$2000,0)),"（沒建檔）"))</f>
        <v/>
      </c>
      <c r="F620" s="9" t="str">
        <f aca="false">IF($A620="","",IFERROR(INDEX(會員!$B$2:$B$2000,MATCH($A620,會員!$A$2:$A$2000,0)),"（沒建檔）"))</f>
        <v/>
      </c>
      <c r="G620" s="10" t="str">
        <f aca="false">IF($B620="","",IF($D620="","未還","已還"))</f>
        <v/>
      </c>
    </row>
    <row r="621" customFormat="false" ht="15" hidden="false" customHeight="false" outlineLevel="0" collapsed="false">
      <c r="E621" s="9" t="str">
        <f aca="false">IF($B621="","",IFERROR(INDEX(書籍!$B$2:$B$2000,MATCH($B621,書籍!$A$2:$A$2000,0)),"（沒建檔）"))</f>
        <v/>
      </c>
      <c r="F621" s="9" t="str">
        <f aca="false">IF($A621="","",IFERROR(INDEX(會員!$B$2:$B$2000,MATCH($A621,會員!$A$2:$A$2000,0)),"（沒建檔）"))</f>
        <v/>
      </c>
      <c r="G621" s="10" t="str">
        <f aca="false">IF($B621="","",IF($D621="","未還","已還"))</f>
        <v/>
      </c>
    </row>
    <row r="622" customFormat="false" ht="15" hidden="false" customHeight="false" outlineLevel="0" collapsed="false">
      <c r="E622" s="9" t="str">
        <f aca="false">IF($B622="","",IFERROR(INDEX(書籍!$B$2:$B$2000,MATCH($B622,書籍!$A$2:$A$2000,0)),"（沒建檔）"))</f>
        <v/>
      </c>
      <c r="F622" s="9" t="str">
        <f aca="false">IF($A622="","",IFERROR(INDEX(會員!$B$2:$B$2000,MATCH($A622,會員!$A$2:$A$2000,0)),"（沒建檔）"))</f>
        <v/>
      </c>
      <c r="G622" s="10" t="str">
        <f aca="false">IF($B622="","",IF($D622="","未還","已還"))</f>
        <v/>
      </c>
    </row>
    <row r="623" customFormat="false" ht="15" hidden="false" customHeight="false" outlineLevel="0" collapsed="false">
      <c r="E623" s="9" t="str">
        <f aca="false">IF($B623="","",IFERROR(INDEX(書籍!$B$2:$B$2000,MATCH($B623,書籍!$A$2:$A$2000,0)),"（沒建檔）"))</f>
        <v/>
      </c>
      <c r="F623" s="9" t="str">
        <f aca="false">IF($A623="","",IFERROR(INDEX(會員!$B$2:$B$2000,MATCH($A623,會員!$A$2:$A$2000,0)),"（沒建檔）"))</f>
        <v/>
      </c>
      <c r="G623" s="10" t="str">
        <f aca="false">IF($B623="","",IF($D623="","未還","已還"))</f>
        <v/>
      </c>
    </row>
    <row r="624" customFormat="false" ht="15" hidden="false" customHeight="false" outlineLevel="0" collapsed="false">
      <c r="E624" s="9" t="str">
        <f aca="false">IF($B624="","",IFERROR(INDEX(書籍!$B$2:$B$2000,MATCH($B624,書籍!$A$2:$A$2000,0)),"（沒建檔）"))</f>
        <v/>
      </c>
      <c r="F624" s="9" t="str">
        <f aca="false">IF($A624="","",IFERROR(INDEX(會員!$B$2:$B$2000,MATCH($A624,會員!$A$2:$A$2000,0)),"（沒建檔）"))</f>
        <v/>
      </c>
      <c r="G624" s="10" t="str">
        <f aca="false">IF($B624="","",IF($D624="","未還","已還"))</f>
        <v/>
      </c>
    </row>
    <row r="625" customFormat="false" ht="15" hidden="false" customHeight="false" outlineLevel="0" collapsed="false">
      <c r="E625" s="9" t="str">
        <f aca="false">IF($B625="","",IFERROR(INDEX(書籍!$B$2:$B$2000,MATCH($B625,書籍!$A$2:$A$2000,0)),"（沒建檔）"))</f>
        <v/>
      </c>
      <c r="F625" s="9" t="str">
        <f aca="false">IF($A625="","",IFERROR(INDEX(會員!$B$2:$B$2000,MATCH($A625,會員!$A$2:$A$2000,0)),"（沒建檔）"))</f>
        <v/>
      </c>
      <c r="G625" s="10" t="str">
        <f aca="false">IF($B625="","",IF($D625="","未還","已還"))</f>
        <v/>
      </c>
    </row>
    <row r="626" customFormat="false" ht="15" hidden="false" customHeight="false" outlineLevel="0" collapsed="false">
      <c r="E626" s="9" t="str">
        <f aca="false">IF($B626="","",IFERROR(INDEX(書籍!$B$2:$B$2000,MATCH($B626,書籍!$A$2:$A$2000,0)),"（沒建檔）"))</f>
        <v/>
      </c>
      <c r="F626" s="9" t="str">
        <f aca="false">IF($A626="","",IFERROR(INDEX(會員!$B$2:$B$2000,MATCH($A626,會員!$A$2:$A$2000,0)),"（沒建檔）"))</f>
        <v/>
      </c>
      <c r="G626" s="10" t="str">
        <f aca="false">IF($B626="","",IF($D626="","未還","已還"))</f>
        <v/>
      </c>
    </row>
    <row r="627" customFormat="false" ht="15" hidden="false" customHeight="false" outlineLevel="0" collapsed="false">
      <c r="E627" s="9" t="str">
        <f aca="false">IF($B627="","",IFERROR(INDEX(書籍!$B$2:$B$2000,MATCH($B627,書籍!$A$2:$A$2000,0)),"（沒建檔）"))</f>
        <v/>
      </c>
      <c r="F627" s="9" t="str">
        <f aca="false">IF($A627="","",IFERROR(INDEX(會員!$B$2:$B$2000,MATCH($A627,會員!$A$2:$A$2000,0)),"（沒建檔）"))</f>
        <v/>
      </c>
      <c r="G627" s="10" t="str">
        <f aca="false">IF($B627="","",IF($D627="","未還","已還"))</f>
        <v/>
      </c>
    </row>
    <row r="628" customFormat="false" ht="15" hidden="false" customHeight="false" outlineLevel="0" collapsed="false">
      <c r="E628" s="9" t="str">
        <f aca="false">IF($B628="","",IFERROR(INDEX(書籍!$B$2:$B$2000,MATCH($B628,書籍!$A$2:$A$2000,0)),"（沒建檔）"))</f>
        <v/>
      </c>
      <c r="F628" s="9" t="str">
        <f aca="false">IF($A628="","",IFERROR(INDEX(會員!$B$2:$B$2000,MATCH($A628,會員!$A$2:$A$2000,0)),"（沒建檔）"))</f>
        <v/>
      </c>
      <c r="G628" s="10" t="str">
        <f aca="false">IF($B628="","",IF($D628="","未還","已還"))</f>
        <v/>
      </c>
    </row>
    <row r="629" customFormat="false" ht="15" hidden="false" customHeight="false" outlineLevel="0" collapsed="false">
      <c r="E629" s="9" t="str">
        <f aca="false">IF($B629="","",IFERROR(INDEX(書籍!$B$2:$B$2000,MATCH($B629,書籍!$A$2:$A$2000,0)),"（沒建檔）"))</f>
        <v/>
      </c>
      <c r="F629" s="9" t="str">
        <f aca="false">IF($A629="","",IFERROR(INDEX(會員!$B$2:$B$2000,MATCH($A629,會員!$A$2:$A$2000,0)),"（沒建檔）"))</f>
        <v/>
      </c>
      <c r="G629" s="10" t="str">
        <f aca="false">IF($B629="","",IF($D629="","未還","已還"))</f>
        <v/>
      </c>
    </row>
    <row r="630" customFormat="false" ht="15" hidden="false" customHeight="false" outlineLevel="0" collapsed="false">
      <c r="E630" s="9" t="str">
        <f aca="false">IF($B630="","",IFERROR(INDEX(書籍!$B$2:$B$2000,MATCH($B630,書籍!$A$2:$A$2000,0)),"（沒建檔）"))</f>
        <v/>
      </c>
      <c r="F630" s="9" t="str">
        <f aca="false">IF($A630="","",IFERROR(INDEX(會員!$B$2:$B$2000,MATCH($A630,會員!$A$2:$A$2000,0)),"（沒建檔）"))</f>
        <v/>
      </c>
      <c r="G630" s="10" t="str">
        <f aca="false">IF($B630="","",IF($D630="","未還","已還"))</f>
        <v/>
      </c>
    </row>
    <row r="631" customFormat="false" ht="15" hidden="false" customHeight="false" outlineLevel="0" collapsed="false">
      <c r="E631" s="9" t="str">
        <f aca="false">IF($B631="","",IFERROR(INDEX(書籍!$B$2:$B$2000,MATCH($B631,書籍!$A$2:$A$2000,0)),"（沒建檔）"))</f>
        <v/>
      </c>
      <c r="F631" s="9" t="str">
        <f aca="false">IF($A631="","",IFERROR(INDEX(會員!$B$2:$B$2000,MATCH($A631,會員!$A$2:$A$2000,0)),"（沒建檔）"))</f>
        <v/>
      </c>
      <c r="G631" s="10" t="str">
        <f aca="false">IF($B631="","",IF($D631="","未還","已還"))</f>
        <v/>
      </c>
    </row>
    <row r="632" customFormat="false" ht="15" hidden="false" customHeight="false" outlineLevel="0" collapsed="false">
      <c r="E632" s="9" t="str">
        <f aca="false">IF($B632="","",IFERROR(INDEX(書籍!$B$2:$B$2000,MATCH($B632,書籍!$A$2:$A$2000,0)),"（沒建檔）"))</f>
        <v/>
      </c>
      <c r="F632" s="9" t="str">
        <f aca="false">IF($A632="","",IFERROR(INDEX(會員!$B$2:$B$2000,MATCH($A632,會員!$A$2:$A$2000,0)),"（沒建檔）"))</f>
        <v/>
      </c>
      <c r="G632" s="10" t="str">
        <f aca="false">IF($B632="","",IF($D632="","未還","已還"))</f>
        <v/>
      </c>
    </row>
    <row r="633" customFormat="false" ht="15" hidden="false" customHeight="false" outlineLevel="0" collapsed="false">
      <c r="E633" s="9" t="str">
        <f aca="false">IF($B633="","",IFERROR(INDEX(書籍!$B$2:$B$2000,MATCH($B633,書籍!$A$2:$A$2000,0)),"（沒建檔）"))</f>
        <v/>
      </c>
      <c r="F633" s="9" t="str">
        <f aca="false">IF($A633="","",IFERROR(INDEX(會員!$B$2:$B$2000,MATCH($A633,會員!$A$2:$A$2000,0)),"（沒建檔）"))</f>
        <v/>
      </c>
      <c r="G633" s="10" t="str">
        <f aca="false">IF($B633="","",IF($D633="","未還","已還"))</f>
        <v/>
      </c>
    </row>
    <row r="634" customFormat="false" ht="15" hidden="false" customHeight="false" outlineLevel="0" collapsed="false">
      <c r="E634" s="9" t="str">
        <f aca="false">IF($B634="","",IFERROR(INDEX(書籍!$B$2:$B$2000,MATCH($B634,書籍!$A$2:$A$2000,0)),"（沒建檔）"))</f>
        <v/>
      </c>
      <c r="F634" s="9" t="str">
        <f aca="false">IF($A634="","",IFERROR(INDEX(會員!$B$2:$B$2000,MATCH($A634,會員!$A$2:$A$2000,0)),"（沒建檔）"))</f>
        <v/>
      </c>
      <c r="G634" s="10" t="str">
        <f aca="false">IF($B634="","",IF($D634="","未還","已還"))</f>
        <v/>
      </c>
    </row>
    <row r="635" customFormat="false" ht="15" hidden="false" customHeight="false" outlineLevel="0" collapsed="false">
      <c r="E635" s="9" t="str">
        <f aca="false">IF($B635="","",IFERROR(INDEX(書籍!$B$2:$B$2000,MATCH($B635,書籍!$A$2:$A$2000,0)),"（沒建檔）"))</f>
        <v/>
      </c>
      <c r="F635" s="9" t="str">
        <f aca="false">IF($A635="","",IFERROR(INDEX(會員!$B$2:$B$2000,MATCH($A635,會員!$A$2:$A$2000,0)),"（沒建檔）"))</f>
        <v/>
      </c>
      <c r="G635" s="10" t="str">
        <f aca="false">IF($B635="","",IF($D635="","未還","已還"))</f>
        <v/>
      </c>
    </row>
    <row r="636" customFormat="false" ht="15" hidden="false" customHeight="false" outlineLevel="0" collapsed="false">
      <c r="E636" s="9" t="str">
        <f aca="false">IF($B636="","",IFERROR(INDEX(書籍!$B$2:$B$2000,MATCH($B636,書籍!$A$2:$A$2000,0)),"（沒建檔）"))</f>
        <v/>
      </c>
      <c r="F636" s="9" t="str">
        <f aca="false">IF($A636="","",IFERROR(INDEX(會員!$B$2:$B$2000,MATCH($A636,會員!$A$2:$A$2000,0)),"（沒建檔）"))</f>
        <v/>
      </c>
      <c r="G636" s="10" t="str">
        <f aca="false">IF($B636="","",IF($D636="","未還","已還"))</f>
        <v/>
      </c>
    </row>
    <row r="637" customFormat="false" ht="15" hidden="false" customHeight="false" outlineLevel="0" collapsed="false">
      <c r="E637" s="9" t="str">
        <f aca="false">IF($B637="","",IFERROR(INDEX(書籍!$B$2:$B$2000,MATCH($B637,書籍!$A$2:$A$2000,0)),"（沒建檔）"))</f>
        <v/>
      </c>
      <c r="F637" s="9" t="str">
        <f aca="false">IF($A637="","",IFERROR(INDEX(會員!$B$2:$B$2000,MATCH($A637,會員!$A$2:$A$2000,0)),"（沒建檔）"))</f>
        <v/>
      </c>
      <c r="G637" s="10" t="str">
        <f aca="false">IF($B637="","",IF($D637="","未還","已還"))</f>
        <v/>
      </c>
    </row>
    <row r="638" customFormat="false" ht="15" hidden="false" customHeight="false" outlineLevel="0" collapsed="false">
      <c r="E638" s="9" t="str">
        <f aca="false">IF($B638="","",IFERROR(INDEX(書籍!$B$2:$B$2000,MATCH($B638,書籍!$A$2:$A$2000,0)),"（沒建檔）"))</f>
        <v/>
      </c>
      <c r="F638" s="9" t="str">
        <f aca="false">IF($A638="","",IFERROR(INDEX(會員!$B$2:$B$2000,MATCH($A638,會員!$A$2:$A$2000,0)),"（沒建檔）"))</f>
        <v/>
      </c>
      <c r="G638" s="10" t="str">
        <f aca="false">IF($B638="","",IF($D638="","未還","已還"))</f>
        <v/>
      </c>
    </row>
    <row r="639" customFormat="false" ht="15" hidden="false" customHeight="false" outlineLevel="0" collapsed="false">
      <c r="E639" s="9" t="str">
        <f aca="false">IF($B639="","",IFERROR(INDEX(書籍!$B$2:$B$2000,MATCH($B639,書籍!$A$2:$A$2000,0)),"（沒建檔）"))</f>
        <v/>
      </c>
      <c r="F639" s="9" t="str">
        <f aca="false">IF($A639="","",IFERROR(INDEX(會員!$B$2:$B$2000,MATCH($A639,會員!$A$2:$A$2000,0)),"（沒建檔）"))</f>
        <v/>
      </c>
      <c r="G639" s="10" t="str">
        <f aca="false">IF($B639="","",IF($D639="","未還","已還"))</f>
        <v/>
      </c>
    </row>
    <row r="640" customFormat="false" ht="15" hidden="false" customHeight="false" outlineLevel="0" collapsed="false">
      <c r="E640" s="9" t="str">
        <f aca="false">IF($B640="","",IFERROR(INDEX(書籍!$B$2:$B$2000,MATCH($B640,書籍!$A$2:$A$2000,0)),"（沒建檔）"))</f>
        <v/>
      </c>
      <c r="F640" s="9" t="str">
        <f aca="false">IF($A640="","",IFERROR(INDEX(會員!$B$2:$B$2000,MATCH($A640,會員!$A$2:$A$2000,0)),"（沒建檔）"))</f>
        <v/>
      </c>
      <c r="G640" s="10" t="str">
        <f aca="false">IF($B640="","",IF($D640="","未還","已還"))</f>
        <v/>
      </c>
    </row>
    <row r="641" customFormat="false" ht="15" hidden="false" customHeight="false" outlineLevel="0" collapsed="false">
      <c r="E641" s="9" t="str">
        <f aca="false">IF($B641="","",IFERROR(INDEX(書籍!$B$2:$B$2000,MATCH($B641,書籍!$A$2:$A$2000,0)),"（沒建檔）"))</f>
        <v/>
      </c>
      <c r="F641" s="9" t="str">
        <f aca="false">IF($A641="","",IFERROR(INDEX(會員!$B$2:$B$2000,MATCH($A641,會員!$A$2:$A$2000,0)),"（沒建檔）"))</f>
        <v/>
      </c>
      <c r="G641" s="10" t="str">
        <f aca="false">IF($B641="","",IF($D641="","未還","已還"))</f>
        <v/>
      </c>
    </row>
    <row r="642" customFormat="false" ht="15" hidden="false" customHeight="false" outlineLevel="0" collapsed="false">
      <c r="E642" s="9" t="str">
        <f aca="false">IF($B642="","",IFERROR(INDEX(書籍!$B$2:$B$2000,MATCH($B642,書籍!$A$2:$A$2000,0)),"（沒建檔）"))</f>
        <v/>
      </c>
      <c r="F642" s="9" t="str">
        <f aca="false">IF($A642="","",IFERROR(INDEX(會員!$B$2:$B$2000,MATCH($A642,會員!$A$2:$A$2000,0)),"（沒建檔）"))</f>
        <v/>
      </c>
      <c r="G642" s="10" t="str">
        <f aca="false">IF($B642="","",IF($D642="","未還","已還"))</f>
        <v/>
      </c>
    </row>
    <row r="643" customFormat="false" ht="15" hidden="false" customHeight="false" outlineLevel="0" collapsed="false">
      <c r="E643" s="9" t="str">
        <f aca="false">IF($B643="","",IFERROR(INDEX(書籍!$B$2:$B$2000,MATCH($B643,書籍!$A$2:$A$2000,0)),"（沒建檔）"))</f>
        <v/>
      </c>
      <c r="F643" s="9" t="str">
        <f aca="false">IF($A643="","",IFERROR(INDEX(會員!$B$2:$B$2000,MATCH($A643,會員!$A$2:$A$2000,0)),"（沒建檔）"))</f>
        <v/>
      </c>
      <c r="G643" s="10" t="str">
        <f aca="false">IF($B643="","",IF($D643="","未還","已還"))</f>
        <v/>
      </c>
    </row>
    <row r="644" customFormat="false" ht="15" hidden="false" customHeight="false" outlineLevel="0" collapsed="false">
      <c r="E644" s="9" t="str">
        <f aca="false">IF($B644="","",IFERROR(INDEX(書籍!$B$2:$B$2000,MATCH($B644,書籍!$A$2:$A$2000,0)),"（沒建檔）"))</f>
        <v/>
      </c>
      <c r="F644" s="9" t="str">
        <f aca="false">IF($A644="","",IFERROR(INDEX(會員!$B$2:$B$2000,MATCH($A644,會員!$A$2:$A$2000,0)),"（沒建檔）"))</f>
        <v/>
      </c>
      <c r="G644" s="10" t="str">
        <f aca="false">IF($B644="","",IF($D644="","未還","已還"))</f>
        <v/>
      </c>
    </row>
    <row r="645" customFormat="false" ht="15" hidden="false" customHeight="false" outlineLevel="0" collapsed="false">
      <c r="E645" s="9" t="str">
        <f aca="false">IF($B645="","",IFERROR(INDEX(書籍!$B$2:$B$2000,MATCH($B645,書籍!$A$2:$A$2000,0)),"（沒建檔）"))</f>
        <v/>
      </c>
      <c r="F645" s="9" t="str">
        <f aca="false">IF($A645="","",IFERROR(INDEX(會員!$B$2:$B$2000,MATCH($A645,會員!$A$2:$A$2000,0)),"（沒建檔）"))</f>
        <v/>
      </c>
      <c r="G645" s="10" t="str">
        <f aca="false">IF($B645="","",IF($D645="","未還","已還"))</f>
        <v/>
      </c>
    </row>
    <row r="646" customFormat="false" ht="15" hidden="false" customHeight="false" outlineLevel="0" collapsed="false">
      <c r="E646" s="9" t="str">
        <f aca="false">IF($B646="","",IFERROR(INDEX(書籍!$B$2:$B$2000,MATCH($B646,書籍!$A$2:$A$2000,0)),"（沒建檔）"))</f>
        <v/>
      </c>
      <c r="F646" s="9" t="str">
        <f aca="false">IF($A646="","",IFERROR(INDEX(會員!$B$2:$B$2000,MATCH($A646,會員!$A$2:$A$2000,0)),"（沒建檔）"))</f>
        <v/>
      </c>
      <c r="G646" s="10" t="str">
        <f aca="false">IF($B646="","",IF($D646="","未還","已還"))</f>
        <v/>
      </c>
    </row>
    <row r="647" customFormat="false" ht="15" hidden="false" customHeight="false" outlineLevel="0" collapsed="false">
      <c r="E647" s="9" t="str">
        <f aca="false">IF($B647="","",IFERROR(INDEX(書籍!$B$2:$B$2000,MATCH($B647,書籍!$A$2:$A$2000,0)),"（沒建檔）"))</f>
        <v/>
      </c>
      <c r="F647" s="9" t="str">
        <f aca="false">IF($A647="","",IFERROR(INDEX(會員!$B$2:$B$2000,MATCH($A647,會員!$A$2:$A$2000,0)),"（沒建檔）"))</f>
        <v/>
      </c>
      <c r="G647" s="10" t="str">
        <f aca="false">IF($B647="","",IF($D647="","未還","已還"))</f>
        <v/>
      </c>
    </row>
    <row r="648" customFormat="false" ht="15" hidden="false" customHeight="false" outlineLevel="0" collapsed="false">
      <c r="E648" s="9" t="str">
        <f aca="false">IF($B648="","",IFERROR(INDEX(書籍!$B$2:$B$2000,MATCH($B648,書籍!$A$2:$A$2000,0)),"（沒建檔）"))</f>
        <v/>
      </c>
      <c r="F648" s="9" t="str">
        <f aca="false">IF($A648="","",IFERROR(INDEX(會員!$B$2:$B$2000,MATCH($A648,會員!$A$2:$A$2000,0)),"（沒建檔）"))</f>
        <v/>
      </c>
      <c r="G648" s="10" t="str">
        <f aca="false">IF($B648="","",IF($D648="","未還","已還"))</f>
        <v/>
      </c>
    </row>
    <row r="649" customFormat="false" ht="15" hidden="false" customHeight="false" outlineLevel="0" collapsed="false">
      <c r="E649" s="9" t="str">
        <f aca="false">IF($B649="","",IFERROR(INDEX(書籍!$B$2:$B$2000,MATCH($B649,書籍!$A$2:$A$2000,0)),"（沒建檔）"))</f>
        <v/>
      </c>
      <c r="F649" s="9" t="str">
        <f aca="false">IF($A649="","",IFERROR(INDEX(會員!$B$2:$B$2000,MATCH($A649,會員!$A$2:$A$2000,0)),"（沒建檔）"))</f>
        <v/>
      </c>
      <c r="G649" s="10" t="str">
        <f aca="false">IF($B649="","",IF($D649="","未還","已還"))</f>
        <v/>
      </c>
    </row>
    <row r="650" customFormat="false" ht="15" hidden="false" customHeight="false" outlineLevel="0" collapsed="false">
      <c r="E650" s="9" t="str">
        <f aca="false">IF($B650="","",IFERROR(INDEX(書籍!$B$2:$B$2000,MATCH($B650,書籍!$A$2:$A$2000,0)),"（沒建檔）"))</f>
        <v/>
      </c>
      <c r="F650" s="9" t="str">
        <f aca="false">IF($A650="","",IFERROR(INDEX(會員!$B$2:$B$2000,MATCH($A650,會員!$A$2:$A$2000,0)),"（沒建檔）"))</f>
        <v/>
      </c>
      <c r="G650" s="10" t="str">
        <f aca="false">IF($B650="","",IF($D650="","未還","已還"))</f>
        <v/>
      </c>
    </row>
    <row r="651" customFormat="false" ht="15" hidden="false" customHeight="false" outlineLevel="0" collapsed="false">
      <c r="E651" s="9" t="str">
        <f aca="false">IF($B651="","",IFERROR(INDEX(書籍!$B$2:$B$2000,MATCH($B651,書籍!$A$2:$A$2000,0)),"（沒建檔）"))</f>
        <v/>
      </c>
      <c r="F651" s="9" t="str">
        <f aca="false">IF($A651="","",IFERROR(INDEX(會員!$B$2:$B$2000,MATCH($A651,會員!$A$2:$A$2000,0)),"（沒建檔）"))</f>
        <v/>
      </c>
      <c r="G651" s="10" t="str">
        <f aca="false">IF($B651="","",IF($D651="","未還","已還"))</f>
        <v/>
      </c>
    </row>
    <row r="652" customFormat="false" ht="15" hidden="false" customHeight="false" outlineLevel="0" collapsed="false">
      <c r="E652" s="9" t="str">
        <f aca="false">IF($B652="","",IFERROR(INDEX(書籍!$B$2:$B$2000,MATCH($B652,書籍!$A$2:$A$2000,0)),"（沒建檔）"))</f>
        <v/>
      </c>
      <c r="F652" s="9" t="str">
        <f aca="false">IF($A652="","",IFERROR(INDEX(會員!$B$2:$B$2000,MATCH($A652,會員!$A$2:$A$2000,0)),"（沒建檔）"))</f>
        <v/>
      </c>
      <c r="G652" s="10" t="str">
        <f aca="false">IF($B652="","",IF($D652="","未還","已還"))</f>
        <v/>
      </c>
    </row>
    <row r="653" customFormat="false" ht="15" hidden="false" customHeight="false" outlineLevel="0" collapsed="false">
      <c r="E653" s="9" t="str">
        <f aca="false">IF($B653="","",IFERROR(INDEX(書籍!$B$2:$B$2000,MATCH($B653,書籍!$A$2:$A$2000,0)),"（沒建檔）"))</f>
        <v/>
      </c>
      <c r="F653" s="9" t="str">
        <f aca="false">IF($A653="","",IFERROR(INDEX(會員!$B$2:$B$2000,MATCH($A653,會員!$A$2:$A$2000,0)),"（沒建檔）"))</f>
        <v/>
      </c>
      <c r="G653" s="10" t="str">
        <f aca="false">IF($B653="","",IF($D653="","未還","已還"))</f>
        <v/>
      </c>
    </row>
    <row r="654" customFormat="false" ht="15" hidden="false" customHeight="false" outlineLevel="0" collapsed="false">
      <c r="E654" s="9" t="str">
        <f aca="false">IF($B654="","",IFERROR(INDEX(書籍!$B$2:$B$2000,MATCH($B654,書籍!$A$2:$A$2000,0)),"（沒建檔）"))</f>
        <v/>
      </c>
      <c r="F654" s="9" t="str">
        <f aca="false">IF($A654="","",IFERROR(INDEX(會員!$B$2:$B$2000,MATCH($A654,會員!$A$2:$A$2000,0)),"（沒建檔）"))</f>
        <v/>
      </c>
      <c r="G654" s="10" t="str">
        <f aca="false">IF($B654="","",IF($D654="","未還","已還"))</f>
        <v/>
      </c>
    </row>
    <row r="655" customFormat="false" ht="15" hidden="false" customHeight="false" outlineLevel="0" collapsed="false">
      <c r="E655" s="9" t="str">
        <f aca="false">IF($B655="","",IFERROR(INDEX(書籍!$B$2:$B$2000,MATCH($B655,書籍!$A$2:$A$2000,0)),"（沒建檔）"))</f>
        <v/>
      </c>
      <c r="F655" s="9" t="str">
        <f aca="false">IF($A655="","",IFERROR(INDEX(會員!$B$2:$B$2000,MATCH($A655,會員!$A$2:$A$2000,0)),"（沒建檔）"))</f>
        <v/>
      </c>
      <c r="G655" s="10" t="str">
        <f aca="false">IF($B655="","",IF($D655="","未還","已還"))</f>
        <v/>
      </c>
    </row>
    <row r="656" customFormat="false" ht="15" hidden="false" customHeight="false" outlineLevel="0" collapsed="false">
      <c r="E656" s="9" t="str">
        <f aca="false">IF($B656="","",IFERROR(INDEX(書籍!$B$2:$B$2000,MATCH($B656,書籍!$A$2:$A$2000,0)),"（沒建檔）"))</f>
        <v/>
      </c>
      <c r="F656" s="9" t="str">
        <f aca="false">IF($A656="","",IFERROR(INDEX(會員!$B$2:$B$2000,MATCH($A656,會員!$A$2:$A$2000,0)),"（沒建檔）"))</f>
        <v/>
      </c>
      <c r="G656" s="10" t="str">
        <f aca="false">IF($B656="","",IF($D656="","未還","已還"))</f>
        <v/>
      </c>
    </row>
    <row r="657" customFormat="false" ht="15" hidden="false" customHeight="false" outlineLevel="0" collapsed="false">
      <c r="E657" s="9" t="str">
        <f aca="false">IF($B657="","",IFERROR(INDEX(書籍!$B$2:$B$2000,MATCH($B657,書籍!$A$2:$A$2000,0)),"（沒建檔）"))</f>
        <v/>
      </c>
      <c r="F657" s="9" t="str">
        <f aca="false">IF($A657="","",IFERROR(INDEX(會員!$B$2:$B$2000,MATCH($A657,會員!$A$2:$A$2000,0)),"（沒建檔）"))</f>
        <v/>
      </c>
      <c r="G657" s="10" t="str">
        <f aca="false">IF($B657="","",IF($D657="","未還","已還"))</f>
        <v/>
      </c>
    </row>
    <row r="658" customFormat="false" ht="15" hidden="false" customHeight="false" outlineLevel="0" collapsed="false">
      <c r="E658" s="9" t="str">
        <f aca="false">IF($B658="","",IFERROR(INDEX(書籍!$B$2:$B$2000,MATCH($B658,書籍!$A$2:$A$2000,0)),"（沒建檔）"))</f>
        <v/>
      </c>
      <c r="F658" s="9" t="str">
        <f aca="false">IF($A658="","",IFERROR(INDEX(會員!$B$2:$B$2000,MATCH($A658,會員!$A$2:$A$2000,0)),"（沒建檔）"))</f>
        <v/>
      </c>
      <c r="G658" s="10" t="str">
        <f aca="false">IF($B658="","",IF($D658="","未還","已還"))</f>
        <v/>
      </c>
    </row>
    <row r="659" customFormat="false" ht="15" hidden="false" customHeight="false" outlineLevel="0" collapsed="false">
      <c r="E659" s="9" t="str">
        <f aca="false">IF($B659="","",IFERROR(INDEX(書籍!$B$2:$B$2000,MATCH($B659,書籍!$A$2:$A$2000,0)),"（沒建檔）"))</f>
        <v/>
      </c>
      <c r="F659" s="9" t="str">
        <f aca="false">IF($A659="","",IFERROR(INDEX(會員!$B$2:$B$2000,MATCH($A659,會員!$A$2:$A$2000,0)),"（沒建檔）"))</f>
        <v/>
      </c>
      <c r="G659" s="10" t="str">
        <f aca="false">IF($B659="","",IF($D659="","未還","已還"))</f>
        <v/>
      </c>
    </row>
    <row r="660" customFormat="false" ht="15" hidden="false" customHeight="false" outlineLevel="0" collapsed="false">
      <c r="E660" s="9" t="str">
        <f aca="false">IF($B660="","",IFERROR(INDEX(書籍!$B$2:$B$2000,MATCH($B660,書籍!$A$2:$A$2000,0)),"（沒建檔）"))</f>
        <v/>
      </c>
      <c r="F660" s="9" t="str">
        <f aca="false">IF($A660="","",IFERROR(INDEX(會員!$B$2:$B$2000,MATCH($A660,會員!$A$2:$A$2000,0)),"（沒建檔）"))</f>
        <v/>
      </c>
      <c r="G660" s="10" t="str">
        <f aca="false">IF($B660="","",IF($D660="","未還","已還"))</f>
        <v/>
      </c>
    </row>
    <row r="661" customFormat="false" ht="15" hidden="false" customHeight="false" outlineLevel="0" collapsed="false">
      <c r="E661" s="9" t="str">
        <f aca="false">IF($B661="","",IFERROR(INDEX(書籍!$B$2:$B$2000,MATCH($B661,書籍!$A$2:$A$2000,0)),"（沒建檔）"))</f>
        <v/>
      </c>
      <c r="F661" s="9" t="str">
        <f aca="false">IF($A661="","",IFERROR(INDEX(會員!$B$2:$B$2000,MATCH($A661,會員!$A$2:$A$2000,0)),"（沒建檔）"))</f>
        <v/>
      </c>
      <c r="G661" s="10" t="str">
        <f aca="false">IF($B661="","",IF($D661="","未還","已還"))</f>
        <v/>
      </c>
    </row>
    <row r="662" customFormat="false" ht="15" hidden="false" customHeight="false" outlineLevel="0" collapsed="false">
      <c r="E662" s="9" t="str">
        <f aca="false">IF($B662="","",IFERROR(INDEX(書籍!$B$2:$B$2000,MATCH($B662,書籍!$A$2:$A$2000,0)),"（沒建檔）"))</f>
        <v/>
      </c>
      <c r="F662" s="9" t="str">
        <f aca="false">IF($A662="","",IFERROR(INDEX(會員!$B$2:$B$2000,MATCH($A662,會員!$A$2:$A$2000,0)),"（沒建檔）"))</f>
        <v/>
      </c>
      <c r="G662" s="10" t="str">
        <f aca="false">IF($B662="","",IF($D662="","未還","已還"))</f>
        <v/>
      </c>
    </row>
    <row r="663" customFormat="false" ht="15" hidden="false" customHeight="false" outlineLevel="0" collapsed="false">
      <c r="E663" s="9" t="str">
        <f aca="false">IF($B663="","",IFERROR(INDEX(書籍!$B$2:$B$2000,MATCH($B663,書籍!$A$2:$A$2000,0)),"（沒建檔）"))</f>
        <v/>
      </c>
      <c r="F663" s="9" t="str">
        <f aca="false">IF($A663="","",IFERROR(INDEX(會員!$B$2:$B$2000,MATCH($A663,會員!$A$2:$A$2000,0)),"（沒建檔）"))</f>
        <v/>
      </c>
      <c r="G663" s="10" t="str">
        <f aca="false">IF($B663="","",IF($D663="","未還","已還"))</f>
        <v/>
      </c>
    </row>
    <row r="664" customFormat="false" ht="15" hidden="false" customHeight="false" outlineLevel="0" collapsed="false">
      <c r="E664" s="9" t="str">
        <f aca="false">IF($B664="","",IFERROR(INDEX(書籍!$B$2:$B$2000,MATCH($B664,書籍!$A$2:$A$2000,0)),"（沒建檔）"))</f>
        <v/>
      </c>
      <c r="F664" s="9" t="str">
        <f aca="false">IF($A664="","",IFERROR(INDEX(會員!$B$2:$B$2000,MATCH($A664,會員!$A$2:$A$2000,0)),"（沒建檔）"))</f>
        <v/>
      </c>
      <c r="G664" s="10" t="str">
        <f aca="false">IF($B664="","",IF($D664="","未還","已還"))</f>
        <v/>
      </c>
    </row>
    <row r="665" customFormat="false" ht="15" hidden="false" customHeight="false" outlineLevel="0" collapsed="false">
      <c r="E665" s="9" t="str">
        <f aca="false">IF($B665="","",IFERROR(INDEX(書籍!$B$2:$B$2000,MATCH($B665,書籍!$A$2:$A$2000,0)),"（沒建檔）"))</f>
        <v/>
      </c>
      <c r="F665" s="9" t="str">
        <f aca="false">IF($A665="","",IFERROR(INDEX(會員!$B$2:$B$2000,MATCH($A665,會員!$A$2:$A$2000,0)),"（沒建檔）"))</f>
        <v/>
      </c>
      <c r="G665" s="10" t="str">
        <f aca="false">IF($B665="","",IF($D665="","未還","已還"))</f>
        <v/>
      </c>
    </row>
    <row r="666" customFormat="false" ht="15" hidden="false" customHeight="false" outlineLevel="0" collapsed="false">
      <c r="E666" s="9" t="str">
        <f aca="false">IF($B666="","",IFERROR(INDEX(書籍!$B$2:$B$2000,MATCH($B666,書籍!$A$2:$A$2000,0)),"（沒建檔）"))</f>
        <v/>
      </c>
      <c r="F666" s="9" t="str">
        <f aca="false">IF($A666="","",IFERROR(INDEX(會員!$B$2:$B$2000,MATCH($A666,會員!$A$2:$A$2000,0)),"（沒建檔）"))</f>
        <v/>
      </c>
      <c r="G666" s="10" t="str">
        <f aca="false">IF($B666="","",IF($D666="","未還","已還"))</f>
        <v/>
      </c>
    </row>
    <row r="667" customFormat="false" ht="15" hidden="false" customHeight="false" outlineLevel="0" collapsed="false">
      <c r="E667" s="9" t="str">
        <f aca="false">IF($B667="","",IFERROR(INDEX(書籍!$B$2:$B$2000,MATCH($B667,書籍!$A$2:$A$2000,0)),"（沒建檔）"))</f>
        <v/>
      </c>
      <c r="F667" s="9" t="str">
        <f aca="false">IF($A667="","",IFERROR(INDEX(會員!$B$2:$B$2000,MATCH($A667,會員!$A$2:$A$2000,0)),"（沒建檔）"))</f>
        <v/>
      </c>
      <c r="G667" s="10" t="str">
        <f aca="false">IF($B667="","",IF($D667="","未還","已還"))</f>
        <v/>
      </c>
    </row>
    <row r="668" customFormat="false" ht="15" hidden="false" customHeight="false" outlineLevel="0" collapsed="false">
      <c r="E668" s="9" t="str">
        <f aca="false">IF($B668="","",IFERROR(INDEX(書籍!$B$2:$B$2000,MATCH($B668,書籍!$A$2:$A$2000,0)),"（沒建檔）"))</f>
        <v/>
      </c>
      <c r="F668" s="9" t="str">
        <f aca="false">IF($A668="","",IFERROR(INDEX(會員!$B$2:$B$2000,MATCH($A668,會員!$A$2:$A$2000,0)),"（沒建檔）"))</f>
        <v/>
      </c>
      <c r="G668" s="10" t="str">
        <f aca="false">IF($B668="","",IF($D668="","未還","已還"))</f>
        <v/>
      </c>
    </row>
    <row r="669" customFormat="false" ht="15" hidden="false" customHeight="false" outlineLevel="0" collapsed="false">
      <c r="E669" s="9" t="str">
        <f aca="false">IF($B669="","",IFERROR(INDEX(書籍!$B$2:$B$2000,MATCH($B669,書籍!$A$2:$A$2000,0)),"（沒建檔）"))</f>
        <v/>
      </c>
      <c r="F669" s="9" t="str">
        <f aca="false">IF($A669="","",IFERROR(INDEX(會員!$B$2:$B$2000,MATCH($A669,會員!$A$2:$A$2000,0)),"（沒建檔）"))</f>
        <v/>
      </c>
      <c r="G669" s="10" t="str">
        <f aca="false">IF($B669="","",IF($D669="","未還","已還"))</f>
        <v/>
      </c>
    </row>
    <row r="670" customFormat="false" ht="15" hidden="false" customHeight="false" outlineLevel="0" collapsed="false">
      <c r="E670" s="9" t="str">
        <f aca="false">IF($B670="","",IFERROR(INDEX(書籍!$B$2:$B$2000,MATCH($B670,書籍!$A$2:$A$2000,0)),"（沒建檔）"))</f>
        <v/>
      </c>
      <c r="F670" s="9" t="str">
        <f aca="false">IF($A670="","",IFERROR(INDEX(會員!$B$2:$B$2000,MATCH($A670,會員!$A$2:$A$2000,0)),"（沒建檔）"))</f>
        <v/>
      </c>
      <c r="G670" s="10" t="str">
        <f aca="false">IF($B670="","",IF($D670="","未還","已還"))</f>
        <v/>
      </c>
    </row>
    <row r="671" customFormat="false" ht="15" hidden="false" customHeight="false" outlineLevel="0" collapsed="false">
      <c r="E671" s="9" t="str">
        <f aca="false">IF($B671="","",IFERROR(INDEX(書籍!$B$2:$B$2000,MATCH($B671,書籍!$A$2:$A$2000,0)),"（沒建檔）"))</f>
        <v/>
      </c>
      <c r="F671" s="9" t="str">
        <f aca="false">IF($A671="","",IFERROR(INDEX(會員!$B$2:$B$2000,MATCH($A671,會員!$A$2:$A$2000,0)),"（沒建檔）"))</f>
        <v/>
      </c>
      <c r="G671" s="10" t="str">
        <f aca="false">IF($B671="","",IF($D671="","未還","已還"))</f>
        <v/>
      </c>
    </row>
    <row r="672" customFormat="false" ht="15" hidden="false" customHeight="false" outlineLevel="0" collapsed="false">
      <c r="E672" s="9" t="str">
        <f aca="false">IF($B672="","",IFERROR(INDEX(書籍!$B$2:$B$2000,MATCH($B672,書籍!$A$2:$A$2000,0)),"（沒建檔）"))</f>
        <v/>
      </c>
      <c r="F672" s="9" t="str">
        <f aca="false">IF($A672="","",IFERROR(INDEX(會員!$B$2:$B$2000,MATCH($A672,會員!$A$2:$A$2000,0)),"（沒建檔）"))</f>
        <v/>
      </c>
      <c r="G672" s="10" t="str">
        <f aca="false">IF($B672="","",IF($D672="","未還","已還"))</f>
        <v/>
      </c>
    </row>
    <row r="673" customFormat="false" ht="15" hidden="false" customHeight="false" outlineLevel="0" collapsed="false">
      <c r="E673" s="9" t="str">
        <f aca="false">IF($B673="","",IFERROR(INDEX(書籍!$B$2:$B$2000,MATCH($B673,書籍!$A$2:$A$2000,0)),"（沒建檔）"))</f>
        <v/>
      </c>
      <c r="F673" s="9" t="str">
        <f aca="false">IF($A673="","",IFERROR(INDEX(會員!$B$2:$B$2000,MATCH($A673,會員!$A$2:$A$2000,0)),"（沒建檔）"))</f>
        <v/>
      </c>
      <c r="G673" s="10" t="str">
        <f aca="false">IF($B673="","",IF($D673="","未還","已還"))</f>
        <v/>
      </c>
    </row>
    <row r="674" customFormat="false" ht="15" hidden="false" customHeight="false" outlineLevel="0" collapsed="false">
      <c r="E674" s="9" t="str">
        <f aca="false">IF($B674="","",IFERROR(INDEX(書籍!$B$2:$B$2000,MATCH($B674,書籍!$A$2:$A$2000,0)),"（沒建檔）"))</f>
        <v/>
      </c>
      <c r="F674" s="9" t="str">
        <f aca="false">IF($A674="","",IFERROR(INDEX(會員!$B$2:$B$2000,MATCH($A674,會員!$A$2:$A$2000,0)),"（沒建檔）"))</f>
        <v/>
      </c>
      <c r="G674" s="10" t="str">
        <f aca="false">IF($B674="","",IF($D674="","未還","已還"))</f>
        <v/>
      </c>
    </row>
    <row r="675" customFormat="false" ht="15" hidden="false" customHeight="false" outlineLevel="0" collapsed="false">
      <c r="E675" s="9" t="str">
        <f aca="false">IF($B675="","",IFERROR(INDEX(書籍!$B$2:$B$2000,MATCH($B675,書籍!$A$2:$A$2000,0)),"（沒建檔）"))</f>
        <v/>
      </c>
      <c r="F675" s="9" t="str">
        <f aca="false">IF($A675="","",IFERROR(INDEX(會員!$B$2:$B$2000,MATCH($A675,會員!$A$2:$A$2000,0)),"（沒建檔）"))</f>
        <v/>
      </c>
      <c r="G675" s="10" t="str">
        <f aca="false">IF($B675="","",IF($D675="","未還","已還"))</f>
        <v/>
      </c>
    </row>
    <row r="676" customFormat="false" ht="15" hidden="false" customHeight="false" outlineLevel="0" collapsed="false">
      <c r="E676" s="9" t="str">
        <f aca="false">IF($B676="","",IFERROR(INDEX(書籍!$B$2:$B$2000,MATCH($B676,書籍!$A$2:$A$2000,0)),"（沒建檔）"))</f>
        <v/>
      </c>
      <c r="F676" s="9" t="str">
        <f aca="false">IF($A676="","",IFERROR(INDEX(會員!$B$2:$B$2000,MATCH($A676,會員!$A$2:$A$2000,0)),"（沒建檔）"))</f>
        <v/>
      </c>
      <c r="G676" s="10" t="str">
        <f aca="false">IF($B676="","",IF($D676="","未還","已還"))</f>
        <v/>
      </c>
    </row>
    <row r="677" customFormat="false" ht="15" hidden="false" customHeight="false" outlineLevel="0" collapsed="false">
      <c r="E677" s="9" t="str">
        <f aca="false">IF($B677="","",IFERROR(INDEX(書籍!$B$2:$B$2000,MATCH($B677,書籍!$A$2:$A$2000,0)),"（沒建檔）"))</f>
        <v/>
      </c>
      <c r="F677" s="9" t="str">
        <f aca="false">IF($A677="","",IFERROR(INDEX(會員!$B$2:$B$2000,MATCH($A677,會員!$A$2:$A$2000,0)),"（沒建檔）"))</f>
        <v/>
      </c>
      <c r="G677" s="10" t="str">
        <f aca="false">IF($B677="","",IF($D677="","未還","已還"))</f>
        <v/>
      </c>
    </row>
    <row r="678" customFormat="false" ht="15" hidden="false" customHeight="false" outlineLevel="0" collapsed="false">
      <c r="E678" s="9" t="str">
        <f aca="false">IF($B678="","",IFERROR(INDEX(書籍!$B$2:$B$2000,MATCH($B678,書籍!$A$2:$A$2000,0)),"（沒建檔）"))</f>
        <v/>
      </c>
      <c r="F678" s="9" t="str">
        <f aca="false">IF($A678="","",IFERROR(INDEX(會員!$B$2:$B$2000,MATCH($A678,會員!$A$2:$A$2000,0)),"（沒建檔）"))</f>
        <v/>
      </c>
      <c r="G678" s="10" t="str">
        <f aca="false">IF($B678="","",IF($D678="","未還","已還"))</f>
        <v/>
      </c>
    </row>
    <row r="679" customFormat="false" ht="15" hidden="false" customHeight="false" outlineLevel="0" collapsed="false">
      <c r="E679" s="9" t="str">
        <f aca="false">IF($B679="","",IFERROR(INDEX(書籍!$B$2:$B$2000,MATCH($B679,書籍!$A$2:$A$2000,0)),"（沒建檔）"))</f>
        <v/>
      </c>
      <c r="F679" s="9" t="str">
        <f aca="false">IF($A679="","",IFERROR(INDEX(會員!$B$2:$B$2000,MATCH($A679,會員!$A$2:$A$2000,0)),"（沒建檔）"))</f>
        <v/>
      </c>
      <c r="G679" s="10" t="str">
        <f aca="false">IF($B679="","",IF($D679="","未還","已還"))</f>
        <v/>
      </c>
    </row>
    <row r="680" customFormat="false" ht="15" hidden="false" customHeight="false" outlineLevel="0" collapsed="false">
      <c r="E680" s="9" t="str">
        <f aca="false">IF($B680="","",IFERROR(INDEX(書籍!$B$2:$B$2000,MATCH($B680,書籍!$A$2:$A$2000,0)),"（沒建檔）"))</f>
        <v/>
      </c>
      <c r="F680" s="9" t="str">
        <f aca="false">IF($A680="","",IFERROR(INDEX(會員!$B$2:$B$2000,MATCH($A680,會員!$A$2:$A$2000,0)),"（沒建檔）"))</f>
        <v/>
      </c>
      <c r="G680" s="10" t="str">
        <f aca="false">IF($B680="","",IF($D680="","未還","已還"))</f>
        <v/>
      </c>
    </row>
    <row r="681" customFormat="false" ht="15" hidden="false" customHeight="false" outlineLevel="0" collapsed="false">
      <c r="E681" s="9" t="str">
        <f aca="false">IF($B681="","",IFERROR(INDEX(書籍!$B$2:$B$2000,MATCH($B681,書籍!$A$2:$A$2000,0)),"（沒建檔）"))</f>
        <v/>
      </c>
      <c r="F681" s="9" t="str">
        <f aca="false">IF($A681="","",IFERROR(INDEX(會員!$B$2:$B$2000,MATCH($A681,會員!$A$2:$A$2000,0)),"（沒建檔）"))</f>
        <v/>
      </c>
      <c r="G681" s="10" t="str">
        <f aca="false">IF($B681="","",IF($D681="","未還","已還"))</f>
        <v/>
      </c>
    </row>
    <row r="682" customFormat="false" ht="15" hidden="false" customHeight="false" outlineLevel="0" collapsed="false">
      <c r="E682" s="9" t="str">
        <f aca="false">IF($B682="","",IFERROR(INDEX(書籍!$B$2:$B$2000,MATCH($B682,書籍!$A$2:$A$2000,0)),"（沒建檔）"))</f>
        <v/>
      </c>
      <c r="F682" s="9" t="str">
        <f aca="false">IF($A682="","",IFERROR(INDEX(會員!$B$2:$B$2000,MATCH($A682,會員!$A$2:$A$2000,0)),"（沒建檔）"))</f>
        <v/>
      </c>
      <c r="G682" s="10" t="str">
        <f aca="false">IF($B682="","",IF($D682="","未還","已還"))</f>
        <v/>
      </c>
    </row>
    <row r="683" customFormat="false" ht="15" hidden="false" customHeight="false" outlineLevel="0" collapsed="false">
      <c r="E683" s="9" t="str">
        <f aca="false">IF($B683="","",IFERROR(INDEX(書籍!$B$2:$B$2000,MATCH($B683,書籍!$A$2:$A$2000,0)),"（沒建檔）"))</f>
        <v/>
      </c>
      <c r="F683" s="9" t="str">
        <f aca="false">IF($A683="","",IFERROR(INDEX(會員!$B$2:$B$2000,MATCH($A683,會員!$A$2:$A$2000,0)),"（沒建檔）"))</f>
        <v/>
      </c>
      <c r="G683" s="10" t="str">
        <f aca="false">IF($B683="","",IF($D683="","未還","已還"))</f>
        <v/>
      </c>
    </row>
    <row r="684" customFormat="false" ht="15" hidden="false" customHeight="false" outlineLevel="0" collapsed="false">
      <c r="E684" s="9" t="str">
        <f aca="false">IF($B684="","",IFERROR(INDEX(書籍!$B$2:$B$2000,MATCH($B684,書籍!$A$2:$A$2000,0)),"（沒建檔）"))</f>
        <v/>
      </c>
      <c r="F684" s="9" t="str">
        <f aca="false">IF($A684="","",IFERROR(INDEX(會員!$B$2:$B$2000,MATCH($A684,會員!$A$2:$A$2000,0)),"（沒建檔）"))</f>
        <v/>
      </c>
      <c r="G684" s="10" t="str">
        <f aca="false">IF($B684="","",IF($D684="","未還","已還"))</f>
        <v/>
      </c>
    </row>
    <row r="685" customFormat="false" ht="15" hidden="false" customHeight="false" outlineLevel="0" collapsed="false">
      <c r="E685" s="9" t="str">
        <f aca="false">IF($B685="","",IFERROR(INDEX(書籍!$B$2:$B$2000,MATCH($B685,書籍!$A$2:$A$2000,0)),"（沒建檔）"))</f>
        <v/>
      </c>
      <c r="F685" s="9" t="str">
        <f aca="false">IF($A685="","",IFERROR(INDEX(會員!$B$2:$B$2000,MATCH($A685,會員!$A$2:$A$2000,0)),"（沒建檔）"))</f>
        <v/>
      </c>
      <c r="G685" s="10" t="str">
        <f aca="false">IF($B685="","",IF($D685="","未還","已還"))</f>
        <v/>
      </c>
    </row>
    <row r="686" customFormat="false" ht="15" hidden="false" customHeight="false" outlineLevel="0" collapsed="false">
      <c r="E686" s="9" t="str">
        <f aca="false">IF($B686="","",IFERROR(INDEX(書籍!$B$2:$B$2000,MATCH($B686,書籍!$A$2:$A$2000,0)),"（沒建檔）"))</f>
        <v/>
      </c>
      <c r="F686" s="9" t="str">
        <f aca="false">IF($A686="","",IFERROR(INDEX(會員!$B$2:$B$2000,MATCH($A686,會員!$A$2:$A$2000,0)),"（沒建檔）"))</f>
        <v/>
      </c>
      <c r="G686" s="10" t="str">
        <f aca="false">IF($B686="","",IF($D686="","未還","已還"))</f>
        <v/>
      </c>
    </row>
    <row r="687" customFormat="false" ht="15" hidden="false" customHeight="false" outlineLevel="0" collapsed="false">
      <c r="E687" s="9" t="str">
        <f aca="false">IF($B687="","",IFERROR(INDEX(書籍!$B$2:$B$2000,MATCH($B687,書籍!$A$2:$A$2000,0)),"（沒建檔）"))</f>
        <v/>
      </c>
      <c r="F687" s="9" t="str">
        <f aca="false">IF($A687="","",IFERROR(INDEX(會員!$B$2:$B$2000,MATCH($A687,會員!$A$2:$A$2000,0)),"（沒建檔）"))</f>
        <v/>
      </c>
      <c r="G687" s="10" t="str">
        <f aca="false">IF($B687="","",IF($D687="","未還","已還"))</f>
        <v/>
      </c>
    </row>
    <row r="688" customFormat="false" ht="15" hidden="false" customHeight="false" outlineLevel="0" collapsed="false">
      <c r="E688" s="9" t="str">
        <f aca="false">IF($B688="","",IFERROR(INDEX(書籍!$B$2:$B$2000,MATCH($B688,書籍!$A$2:$A$2000,0)),"（沒建檔）"))</f>
        <v/>
      </c>
      <c r="F688" s="9" t="str">
        <f aca="false">IF($A688="","",IFERROR(INDEX(會員!$B$2:$B$2000,MATCH($A688,會員!$A$2:$A$2000,0)),"（沒建檔）"))</f>
        <v/>
      </c>
      <c r="G688" s="10" t="str">
        <f aca="false">IF($B688="","",IF($D688="","未還","已還"))</f>
        <v/>
      </c>
    </row>
    <row r="689" customFormat="false" ht="15" hidden="false" customHeight="false" outlineLevel="0" collapsed="false">
      <c r="E689" s="9" t="str">
        <f aca="false">IF($B689="","",IFERROR(INDEX(書籍!$B$2:$B$2000,MATCH($B689,書籍!$A$2:$A$2000,0)),"（沒建檔）"))</f>
        <v/>
      </c>
      <c r="F689" s="9" t="str">
        <f aca="false">IF($A689="","",IFERROR(INDEX(會員!$B$2:$B$2000,MATCH($A689,會員!$A$2:$A$2000,0)),"（沒建檔）"))</f>
        <v/>
      </c>
      <c r="G689" s="10" t="str">
        <f aca="false">IF($B689="","",IF($D689="","未還","已還"))</f>
        <v/>
      </c>
    </row>
    <row r="690" customFormat="false" ht="15" hidden="false" customHeight="false" outlineLevel="0" collapsed="false">
      <c r="E690" s="9" t="str">
        <f aca="false">IF($B690="","",IFERROR(INDEX(書籍!$B$2:$B$2000,MATCH($B690,書籍!$A$2:$A$2000,0)),"（沒建檔）"))</f>
        <v/>
      </c>
      <c r="F690" s="9" t="str">
        <f aca="false">IF($A690="","",IFERROR(INDEX(會員!$B$2:$B$2000,MATCH($A690,會員!$A$2:$A$2000,0)),"（沒建檔）"))</f>
        <v/>
      </c>
      <c r="G690" s="10" t="str">
        <f aca="false">IF($B690="","",IF($D690="","未還","已還"))</f>
        <v/>
      </c>
    </row>
    <row r="691" customFormat="false" ht="15" hidden="false" customHeight="false" outlineLevel="0" collapsed="false">
      <c r="E691" s="9" t="str">
        <f aca="false">IF($B691="","",IFERROR(INDEX(書籍!$B$2:$B$2000,MATCH($B691,書籍!$A$2:$A$2000,0)),"（沒建檔）"))</f>
        <v/>
      </c>
      <c r="F691" s="9" t="str">
        <f aca="false">IF($A691="","",IFERROR(INDEX(會員!$B$2:$B$2000,MATCH($A691,會員!$A$2:$A$2000,0)),"（沒建檔）"))</f>
        <v/>
      </c>
      <c r="G691" s="10" t="str">
        <f aca="false">IF($B691="","",IF($D691="","未還","已還"))</f>
        <v/>
      </c>
    </row>
    <row r="692" customFormat="false" ht="15" hidden="false" customHeight="false" outlineLevel="0" collapsed="false">
      <c r="E692" s="9" t="str">
        <f aca="false">IF($B692="","",IFERROR(INDEX(書籍!$B$2:$B$2000,MATCH($B692,書籍!$A$2:$A$2000,0)),"（沒建檔）"))</f>
        <v/>
      </c>
      <c r="F692" s="9" t="str">
        <f aca="false">IF($A692="","",IFERROR(INDEX(會員!$B$2:$B$2000,MATCH($A692,會員!$A$2:$A$2000,0)),"（沒建檔）"))</f>
        <v/>
      </c>
      <c r="G692" s="10" t="str">
        <f aca="false">IF($B692="","",IF($D692="","未還","已還"))</f>
        <v/>
      </c>
    </row>
    <row r="693" customFormat="false" ht="15" hidden="false" customHeight="false" outlineLevel="0" collapsed="false">
      <c r="E693" s="9" t="str">
        <f aca="false">IF($B693="","",IFERROR(INDEX(書籍!$B$2:$B$2000,MATCH($B693,書籍!$A$2:$A$2000,0)),"（沒建檔）"))</f>
        <v/>
      </c>
      <c r="F693" s="9" t="str">
        <f aca="false">IF($A693="","",IFERROR(INDEX(會員!$B$2:$B$2000,MATCH($A693,會員!$A$2:$A$2000,0)),"（沒建檔）"))</f>
        <v/>
      </c>
      <c r="G693" s="10" t="str">
        <f aca="false">IF($B693="","",IF($D693="","未還","已還"))</f>
        <v/>
      </c>
    </row>
    <row r="694" customFormat="false" ht="15" hidden="false" customHeight="false" outlineLevel="0" collapsed="false">
      <c r="E694" s="9" t="str">
        <f aca="false">IF($B694="","",IFERROR(INDEX(書籍!$B$2:$B$2000,MATCH($B694,書籍!$A$2:$A$2000,0)),"（沒建檔）"))</f>
        <v/>
      </c>
      <c r="F694" s="9" t="str">
        <f aca="false">IF($A694="","",IFERROR(INDEX(會員!$B$2:$B$2000,MATCH($A694,會員!$A$2:$A$2000,0)),"（沒建檔）"))</f>
        <v/>
      </c>
      <c r="G694" s="10" t="str">
        <f aca="false">IF($B694="","",IF($D694="","未還","已還"))</f>
        <v/>
      </c>
    </row>
    <row r="695" customFormat="false" ht="15" hidden="false" customHeight="false" outlineLevel="0" collapsed="false">
      <c r="E695" s="9" t="str">
        <f aca="false">IF($B695="","",IFERROR(INDEX(書籍!$B$2:$B$2000,MATCH($B695,書籍!$A$2:$A$2000,0)),"（沒建檔）"))</f>
        <v/>
      </c>
      <c r="F695" s="9" t="str">
        <f aca="false">IF($A695="","",IFERROR(INDEX(會員!$B$2:$B$2000,MATCH($A695,會員!$A$2:$A$2000,0)),"（沒建檔）"))</f>
        <v/>
      </c>
      <c r="G695" s="10" t="str">
        <f aca="false">IF($B695="","",IF($D695="","未還","已還"))</f>
        <v/>
      </c>
    </row>
    <row r="696" customFormat="false" ht="15" hidden="false" customHeight="false" outlineLevel="0" collapsed="false">
      <c r="E696" s="9" t="str">
        <f aca="false">IF($B696="","",IFERROR(INDEX(書籍!$B$2:$B$2000,MATCH($B696,書籍!$A$2:$A$2000,0)),"（沒建檔）"))</f>
        <v/>
      </c>
      <c r="F696" s="9" t="str">
        <f aca="false">IF($A696="","",IFERROR(INDEX(會員!$B$2:$B$2000,MATCH($A696,會員!$A$2:$A$2000,0)),"（沒建檔）"))</f>
        <v/>
      </c>
      <c r="G696" s="10" t="str">
        <f aca="false">IF($B696="","",IF($D696="","未還","已還"))</f>
        <v/>
      </c>
    </row>
    <row r="697" customFormat="false" ht="15" hidden="false" customHeight="false" outlineLevel="0" collapsed="false">
      <c r="E697" s="9" t="str">
        <f aca="false">IF($B697="","",IFERROR(INDEX(書籍!$B$2:$B$2000,MATCH($B697,書籍!$A$2:$A$2000,0)),"（沒建檔）"))</f>
        <v/>
      </c>
      <c r="F697" s="9" t="str">
        <f aca="false">IF($A697="","",IFERROR(INDEX(會員!$B$2:$B$2000,MATCH($A697,會員!$A$2:$A$2000,0)),"（沒建檔）"))</f>
        <v/>
      </c>
      <c r="G697" s="10" t="str">
        <f aca="false">IF($B697="","",IF($D697="","未還","已還"))</f>
        <v/>
      </c>
    </row>
    <row r="698" customFormat="false" ht="15" hidden="false" customHeight="false" outlineLevel="0" collapsed="false">
      <c r="E698" s="9" t="str">
        <f aca="false">IF($B698="","",IFERROR(INDEX(書籍!$B$2:$B$2000,MATCH($B698,書籍!$A$2:$A$2000,0)),"（沒建檔）"))</f>
        <v/>
      </c>
      <c r="F698" s="9" t="str">
        <f aca="false">IF($A698="","",IFERROR(INDEX(會員!$B$2:$B$2000,MATCH($A698,會員!$A$2:$A$2000,0)),"（沒建檔）"))</f>
        <v/>
      </c>
      <c r="G698" s="10" t="str">
        <f aca="false">IF($B698="","",IF($D698="","未還","已還"))</f>
        <v/>
      </c>
    </row>
    <row r="699" customFormat="false" ht="15" hidden="false" customHeight="false" outlineLevel="0" collapsed="false">
      <c r="E699" s="9" t="str">
        <f aca="false">IF($B699="","",IFERROR(INDEX(書籍!$B$2:$B$2000,MATCH($B699,書籍!$A$2:$A$2000,0)),"（沒建檔）"))</f>
        <v/>
      </c>
      <c r="F699" s="9" t="str">
        <f aca="false">IF($A699="","",IFERROR(INDEX(會員!$B$2:$B$2000,MATCH($A699,會員!$A$2:$A$2000,0)),"（沒建檔）"))</f>
        <v/>
      </c>
      <c r="G699" s="10" t="str">
        <f aca="false">IF($B699="","",IF($D699="","未還","已還"))</f>
        <v/>
      </c>
    </row>
    <row r="700" customFormat="false" ht="15" hidden="false" customHeight="false" outlineLevel="0" collapsed="false">
      <c r="E700" s="9" t="str">
        <f aca="false">IF($B700="","",IFERROR(INDEX(書籍!$B$2:$B$2000,MATCH($B700,書籍!$A$2:$A$2000,0)),"（沒建檔）"))</f>
        <v/>
      </c>
      <c r="F700" s="9" t="str">
        <f aca="false">IF($A700="","",IFERROR(INDEX(會員!$B$2:$B$2000,MATCH($A700,會員!$A$2:$A$2000,0)),"（沒建檔）"))</f>
        <v/>
      </c>
      <c r="G700" s="10" t="str">
        <f aca="false">IF($B700="","",IF($D700="","未還","已還"))</f>
        <v/>
      </c>
    </row>
    <row r="701" customFormat="false" ht="15" hidden="false" customHeight="false" outlineLevel="0" collapsed="false">
      <c r="E701" s="9" t="str">
        <f aca="false">IF($B701="","",IFERROR(INDEX(書籍!$B$2:$B$2000,MATCH($B701,書籍!$A$2:$A$2000,0)),"（沒建檔）"))</f>
        <v/>
      </c>
      <c r="F701" s="9" t="str">
        <f aca="false">IF($A701="","",IFERROR(INDEX(會員!$B$2:$B$2000,MATCH($A701,會員!$A$2:$A$2000,0)),"（沒建檔）"))</f>
        <v/>
      </c>
      <c r="G701" s="10" t="str">
        <f aca="false">IF($B701="","",IF($D701="","未還","已還"))</f>
        <v/>
      </c>
    </row>
    <row r="702" customFormat="false" ht="15" hidden="false" customHeight="false" outlineLevel="0" collapsed="false">
      <c r="E702" s="9" t="str">
        <f aca="false">IF($B702="","",IFERROR(INDEX(書籍!$B$2:$B$2000,MATCH($B702,書籍!$A$2:$A$2000,0)),"（沒建檔）"))</f>
        <v/>
      </c>
      <c r="F702" s="9" t="str">
        <f aca="false">IF($A702="","",IFERROR(INDEX(會員!$B$2:$B$2000,MATCH($A702,會員!$A$2:$A$2000,0)),"（沒建檔）"))</f>
        <v/>
      </c>
      <c r="G702" s="10" t="str">
        <f aca="false">IF($B702="","",IF($D702="","未還","已還"))</f>
        <v/>
      </c>
    </row>
    <row r="703" customFormat="false" ht="15" hidden="false" customHeight="false" outlineLevel="0" collapsed="false">
      <c r="E703" s="9" t="str">
        <f aca="false">IF($B703="","",IFERROR(INDEX(書籍!$B$2:$B$2000,MATCH($B703,書籍!$A$2:$A$2000,0)),"（沒建檔）"))</f>
        <v/>
      </c>
      <c r="F703" s="9" t="str">
        <f aca="false">IF($A703="","",IFERROR(INDEX(會員!$B$2:$B$2000,MATCH($A703,會員!$A$2:$A$2000,0)),"（沒建檔）"))</f>
        <v/>
      </c>
      <c r="G703" s="10" t="str">
        <f aca="false">IF($B703="","",IF($D703="","未還","已還"))</f>
        <v/>
      </c>
    </row>
    <row r="704" customFormat="false" ht="15" hidden="false" customHeight="false" outlineLevel="0" collapsed="false">
      <c r="E704" s="9" t="str">
        <f aca="false">IF($B704="","",IFERROR(INDEX(書籍!$B$2:$B$2000,MATCH($B704,書籍!$A$2:$A$2000,0)),"（沒建檔）"))</f>
        <v/>
      </c>
      <c r="F704" s="9" t="str">
        <f aca="false">IF($A704="","",IFERROR(INDEX(會員!$B$2:$B$2000,MATCH($A704,會員!$A$2:$A$2000,0)),"（沒建檔）"))</f>
        <v/>
      </c>
      <c r="G704" s="10" t="str">
        <f aca="false">IF($B704="","",IF($D704="","未還","已還"))</f>
        <v/>
      </c>
    </row>
    <row r="705" customFormat="false" ht="15" hidden="false" customHeight="false" outlineLevel="0" collapsed="false">
      <c r="E705" s="9" t="str">
        <f aca="false">IF($B705="","",IFERROR(INDEX(書籍!$B$2:$B$2000,MATCH($B705,書籍!$A$2:$A$2000,0)),"（沒建檔）"))</f>
        <v/>
      </c>
      <c r="F705" s="9" t="str">
        <f aca="false">IF($A705="","",IFERROR(INDEX(會員!$B$2:$B$2000,MATCH($A705,會員!$A$2:$A$2000,0)),"（沒建檔）"))</f>
        <v/>
      </c>
      <c r="G705" s="10" t="str">
        <f aca="false">IF($B705="","",IF($D705="","未還","已還"))</f>
        <v/>
      </c>
    </row>
    <row r="706" customFormat="false" ht="15" hidden="false" customHeight="false" outlineLevel="0" collapsed="false">
      <c r="E706" s="9" t="str">
        <f aca="false">IF($B706="","",IFERROR(INDEX(書籍!$B$2:$B$2000,MATCH($B706,書籍!$A$2:$A$2000,0)),"（沒建檔）"))</f>
        <v/>
      </c>
      <c r="F706" s="9" t="str">
        <f aca="false">IF($A706="","",IFERROR(INDEX(會員!$B$2:$B$2000,MATCH($A706,會員!$A$2:$A$2000,0)),"（沒建檔）"))</f>
        <v/>
      </c>
      <c r="G706" s="10" t="str">
        <f aca="false">IF($B706="","",IF($D706="","未還","已還"))</f>
        <v/>
      </c>
    </row>
    <row r="707" customFormat="false" ht="15" hidden="false" customHeight="false" outlineLevel="0" collapsed="false">
      <c r="E707" s="9" t="str">
        <f aca="false">IF($B707="","",IFERROR(INDEX(書籍!$B$2:$B$2000,MATCH($B707,書籍!$A$2:$A$2000,0)),"（沒建檔）"))</f>
        <v/>
      </c>
      <c r="F707" s="9" t="str">
        <f aca="false">IF($A707="","",IFERROR(INDEX(會員!$B$2:$B$2000,MATCH($A707,會員!$A$2:$A$2000,0)),"（沒建檔）"))</f>
        <v/>
      </c>
      <c r="G707" s="10" t="str">
        <f aca="false">IF($B707="","",IF($D707="","未還","已還"))</f>
        <v/>
      </c>
    </row>
    <row r="708" customFormat="false" ht="15" hidden="false" customHeight="false" outlineLevel="0" collapsed="false">
      <c r="E708" s="9" t="str">
        <f aca="false">IF($B708="","",IFERROR(INDEX(書籍!$B$2:$B$2000,MATCH($B708,書籍!$A$2:$A$2000,0)),"（沒建檔）"))</f>
        <v/>
      </c>
      <c r="F708" s="9" t="str">
        <f aca="false">IF($A708="","",IFERROR(INDEX(會員!$B$2:$B$2000,MATCH($A708,會員!$A$2:$A$2000,0)),"（沒建檔）"))</f>
        <v/>
      </c>
      <c r="G708" s="10" t="str">
        <f aca="false">IF($B708="","",IF($D708="","未還","已還"))</f>
        <v/>
      </c>
    </row>
    <row r="709" customFormat="false" ht="15" hidden="false" customHeight="false" outlineLevel="0" collapsed="false">
      <c r="E709" s="9" t="str">
        <f aca="false">IF($B709="","",IFERROR(INDEX(書籍!$B$2:$B$2000,MATCH($B709,書籍!$A$2:$A$2000,0)),"（沒建檔）"))</f>
        <v/>
      </c>
      <c r="F709" s="9" t="str">
        <f aca="false">IF($A709="","",IFERROR(INDEX(會員!$B$2:$B$2000,MATCH($A709,會員!$A$2:$A$2000,0)),"（沒建檔）"))</f>
        <v/>
      </c>
      <c r="G709" s="10" t="str">
        <f aca="false">IF($B709="","",IF($D709="","未還","已還"))</f>
        <v/>
      </c>
    </row>
    <row r="710" customFormat="false" ht="15" hidden="false" customHeight="false" outlineLevel="0" collapsed="false">
      <c r="E710" s="9" t="str">
        <f aca="false">IF($B710="","",IFERROR(INDEX(書籍!$B$2:$B$2000,MATCH($B710,書籍!$A$2:$A$2000,0)),"（沒建檔）"))</f>
        <v/>
      </c>
      <c r="F710" s="9" t="str">
        <f aca="false">IF($A710="","",IFERROR(INDEX(會員!$B$2:$B$2000,MATCH($A710,會員!$A$2:$A$2000,0)),"（沒建檔）"))</f>
        <v/>
      </c>
      <c r="G710" s="10" t="str">
        <f aca="false">IF($B710="","",IF($D710="","未還","已還"))</f>
        <v/>
      </c>
    </row>
    <row r="711" customFormat="false" ht="15" hidden="false" customHeight="false" outlineLevel="0" collapsed="false">
      <c r="E711" s="9" t="str">
        <f aca="false">IF($B711="","",IFERROR(INDEX(書籍!$B$2:$B$2000,MATCH($B711,書籍!$A$2:$A$2000,0)),"（沒建檔）"))</f>
        <v/>
      </c>
      <c r="F711" s="9" t="str">
        <f aca="false">IF($A711="","",IFERROR(INDEX(會員!$B$2:$B$2000,MATCH($A711,會員!$A$2:$A$2000,0)),"（沒建檔）"))</f>
        <v/>
      </c>
      <c r="G711" s="10" t="str">
        <f aca="false">IF($B711="","",IF($D711="","未還","已還"))</f>
        <v/>
      </c>
    </row>
    <row r="712" customFormat="false" ht="15" hidden="false" customHeight="false" outlineLevel="0" collapsed="false">
      <c r="E712" s="9" t="str">
        <f aca="false">IF($B712="","",IFERROR(INDEX(書籍!$B$2:$B$2000,MATCH($B712,書籍!$A$2:$A$2000,0)),"（沒建檔）"))</f>
        <v/>
      </c>
      <c r="F712" s="9" t="str">
        <f aca="false">IF($A712="","",IFERROR(INDEX(會員!$B$2:$B$2000,MATCH($A712,會員!$A$2:$A$2000,0)),"（沒建檔）"))</f>
        <v/>
      </c>
      <c r="G712" s="10" t="str">
        <f aca="false">IF($B712="","",IF($D712="","未還","已還"))</f>
        <v/>
      </c>
    </row>
    <row r="713" customFormat="false" ht="15" hidden="false" customHeight="false" outlineLevel="0" collapsed="false">
      <c r="E713" s="9" t="str">
        <f aca="false">IF($B713="","",IFERROR(INDEX(書籍!$B$2:$B$2000,MATCH($B713,書籍!$A$2:$A$2000,0)),"（沒建檔）"))</f>
        <v/>
      </c>
      <c r="F713" s="9" t="str">
        <f aca="false">IF($A713="","",IFERROR(INDEX(會員!$B$2:$B$2000,MATCH($A713,會員!$A$2:$A$2000,0)),"（沒建檔）"))</f>
        <v/>
      </c>
      <c r="G713" s="10" t="str">
        <f aca="false">IF($B713="","",IF($D713="","未還","已還"))</f>
        <v/>
      </c>
    </row>
    <row r="714" customFormat="false" ht="15" hidden="false" customHeight="false" outlineLevel="0" collapsed="false">
      <c r="E714" s="9" t="str">
        <f aca="false">IF($B714="","",IFERROR(INDEX(書籍!$B$2:$B$2000,MATCH($B714,書籍!$A$2:$A$2000,0)),"（沒建檔）"))</f>
        <v/>
      </c>
      <c r="F714" s="9" t="str">
        <f aca="false">IF($A714="","",IFERROR(INDEX(會員!$B$2:$B$2000,MATCH($A714,會員!$A$2:$A$2000,0)),"（沒建檔）"))</f>
        <v/>
      </c>
      <c r="G714" s="10" t="str">
        <f aca="false">IF($B714="","",IF($D714="","未還","已還"))</f>
        <v/>
      </c>
    </row>
    <row r="715" customFormat="false" ht="15" hidden="false" customHeight="false" outlineLevel="0" collapsed="false">
      <c r="E715" s="9" t="str">
        <f aca="false">IF($B715="","",IFERROR(INDEX(書籍!$B$2:$B$2000,MATCH($B715,書籍!$A$2:$A$2000,0)),"（沒建檔）"))</f>
        <v/>
      </c>
      <c r="F715" s="9" t="str">
        <f aca="false">IF($A715="","",IFERROR(INDEX(會員!$B$2:$B$2000,MATCH($A715,會員!$A$2:$A$2000,0)),"（沒建檔）"))</f>
        <v/>
      </c>
      <c r="G715" s="10" t="str">
        <f aca="false">IF($B715="","",IF($D715="","未還","已還"))</f>
        <v/>
      </c>
    </row>
    <row r="716" customFormat="false" ht="15" hidden="false" customHeight="false" outlineLevel="0" collapsed="false">
      <c r="E716" s="9" t="str">
        <f aca="false">IF($B716="","",IFERROR(INDEX(書籍!$B$2:$B$2000,MATCH($B716,書籍!$A$2:$A$2000,0)),"（沒建檔）"))</f>
        <v/>
      </c>
      <c r="F716" s="9" t="str">
        <f aca="false">IF($A716="","",IFERROR(INDEX(會員!$B$2:$B$2000,MATCH($A716,會員!$A$2:$A$2000,0)),"（沒建檔）"))</f>
        <v/>
      </c>
      <c r="G716" s="10" t="str">
        <f aca="false">IF($B716="","",IF($D716="","未還","已還"))</f>
        <v/>
      </c>
    </row>
    <row r="717" customFormat="false" ht="15" hidden="false" customHeight="false" outlineLevel="0" collapsed="false">
      <c r="E717" s="9" t="str">
        <f aca="false">IF($B717="","",IFERROR(INDEX(書籍!$B$2:$B$2000,MATCH($B717,書籍!$A$2:$A$2000,0)),"（沒建檔）"))</f>
        <v/>
      </c>
      <c r="F717" s="9" t="str">
        <f aca="false">IF($A717="","",IFERROR(INDEX(會員!$B$2:$B$2000,MATCH($A717,會員!$A$2:$A$2000,0)),"（沒建檔）"))</f>
        <v/>
      </c>
      <c r="G717" s="10" t="str">
        <f aca="false">IF($B717="","",IF($D717="","未還","已還"))</f>
        <v/>
      </c>
    </row>
    <row r="718" customFormat="false" ht="15" hidden="false" customHeight="false" outlineLevel="0" collapsed="false">
      <c r="E718" s="9" t="str">
        <f aca="false">IF($B718="","",IFERROR(INDEX(書籍!$B$2:$B$2000,MATCH($B718,書籍!$A$2:$A$2000,0)),"（沒建檔）"))</f>
        <v/>
      </c>
      <c r="F718" s="9" t="str">
        <f aca="false">IF($A718="","",IFERROR(INDEX(會員!$B$2:$B$2000,MATCH($A718,會員!$A$2:$A$2000,0)),"（沒建檔）"))</f>
        <v/>
      </c>
      <c r="G718" s="10" t="str">
        <f aca="false">IF($B718="","",IF($D718="","未還","已還"))</f>
        <v/>
      </c>
    </row>
    <row r="719" customFormat="false" ht="15" hidden="false" customHeight="false" outlineLevel="0" collapsed="false">
      <c r="E719" s="9" t="str">
        <f aca="false">IF($B719="","",IFERROR(INDEX(書籍!$B$2:$B$2000,MATCH($B719,書籍!$A$2:$A$2000,0)),"（沒建檔）"))</f>
        <v/>
      </c>
      <c r="F719" s="9" t="str">
        <f aca="false">IF($A719="","",IFERROR(INDEX(會員!$B$2:$B$2000,MATCH($A719,會員!$A$2:$A$2000,0)),"（沒建檔）"))</f>
        <v/>
      </c>
      <c r="G719" s="10" t="str">
        <f aca="false">IF($B719="","",IF($D719="","未還","已還"))</f>
        <v/>
      </c>
    </row>
    <row r="720" customFormat="false" ht="15" hidden="false" customHeight="false" outlineLevel="0" collapsed="false">
      <c r="E720" s="9" t="str">
        <f aca="false">IF($B720="","",IFERROR(INDEX(書籍!$B$2:$B$2000,MATCH($B720,書籍!$A$2:$A$2000,0)),"（沒建檔）"))</f>
        <v/>
      </c>
      <c r="F720" s="9" t="str">
        <f aca="false">IF($A720="","",IFERROR(INDEX(會員!$B$2:$B$2000,MATCH($A720,會員!$A$2:$A$2000,0)),"（沒建檔）"))</f>
        <v/>
      </c>
      <c r="G720" s="10" t="str">
        <f aca="false">IF($B720="","",IF($D720="","未還","已還"))</f>
        <v/>
      </c>
    </row>
    <row r="721" customFormat="false" ht="15" hidden="false" customHeight="false" outlineLevel="0" collapsed="false">
      <c r="E721" s="9" t="str">
        <f aca="false">IF($B721="","",IFERROR(INDEX(書籍!$B$2:$B$2000,MATCH($B721,書籍!$A$2:$A$2000,0)),"（沒建檔）"))</f>
        <v/>
      </c>
      <c r="F721" s="9" t="str">
        <f aca="false">IF($A721="","",IFERROR(INDEX(會員!$B$2:$B$2000,MATCH($A721,會員!$A$2:$A$2000,0)),"（沒建檔）"))</f>
        <v/>
      </c>
      <c r="G721" s="10" t="str">
        <f aca="false">IF($B721="","",IF($D721="","未還","已還"))</f>
        <v/>
      </c>
    </row>
    <row r="722" customFormat="false" ht="15" hidden="false" customHeight="false" outlineLevel="0" collapsed="false">
      <c r="E722" s="9" t="str">
        <f aca="false">IF($B722="","",IFERROR(INDEX(書籍!$B$2:$B$2000,MATCH($B722,書籍!$A$2:$A$2000,0)),"（沒建檔）"))</f>
        <v/>
      </c>
      <c r="F722" s="9" t="str">
        <f aca="false">IF($A722="","",IFERROR(INDEX(會員!$B$2:$B$2000,MATCH($A722,會員!$A$2:$A$2000,0)),"（沒建檔）"))</f>
        <v/>
      </c>
      <c r="G722" s="10" t="str">
        <f aca="false">IF($B722="","",IF($D722="","未還","已還"))</f>
        <v/>
      </c>
    </row>
    <row r="723" customFormat="false" ht="15" hidden="false" customHeight="false" outlineLevel="0" collapsed="false">
      <c r="E723" s="9" t="str">
        <f aca="false">IF($B723="","",IFERROR(INDEX(書籍!$B$2:$B$2000,MATCH($B723,書籍!$A$2:$A$2000,0)),"（沒建檔）"))</f>
        <v/>
      </c>
      <c r="F723" s="9" t="str">
        <f aca="false">IF($A723="","",IFERROR(INDEX(會員!$B$2:$B$2000,MATCH($A723,會員!$A$2:$A$2000,0)),"（沒建檔）"))</f>
        <v/>
      </c>
      <c r="G723" s="10" t="str">
        <f aca="false">IF($B723="","",IF($D723="","未還","已還"))</f>
        <v/>
      </c>
    </row>
    <row r="724" customFormat="false" ht="15" hidden="false" customHeight="false" outlineLevel="0" collapsed="false">
      <c r="E724" s="9" t="str">
        <f aca="false">IF($B724="","",IFERROR(INDEX(書籍!$B$2:$B$2000,MATCH($B724,書籍!$A$2:$A$2000,0)),"（沒建檔）"))</f>
        <v/>
      </c>
      <c r="F724" s="9" t="str">
        <f aca="false">IF($A724="","",IFERROR(INDEX(會員!$B$2:$B$2000,MATCH($A724,會員!$A$2:$A$2000,0)),"（沒建檔）"))</f>
        <v/>
      </c>
      <c r="G724" s="10" t="str">
        <f aca="false">IF($B724="","",IF($D724="","未還","已還"))</f>
        <v/>
      </c>
    </row>
    <row r="725" customFormat="false" ht="15" hidden="false" customHeight="false" outlineLevel="0" collapsed="false">
      <c r="E725" s="9" t="str">
        <f aca="false">IF($B725="","",IFERROR(INDEX(書籍!$B$2:$B$2000,MATCH($B725,書籍!$A$2:$A$2000,0)),"（沒建檔）"))</f>
        <v/>
      </c>
      <c r="F725" s="9" t="str">
        <f aca="false">IF($A725="","",IFERROR(INDEX(會員!$B$2:$B$2000,MATCH($A725,會員!$A$2:$A$2000,0)),"（沒建檔）"))</f>
        <v/>
      </c>
      <c r="G725" s="10" t="str">
        <f aca="false">IF($B725="","",IF($D725="","未還","已還"))</f>
        <v/>
      </c>
    </row>
    <row r="726" customFormat="false" ht="15" hidden="false" customHeight="false" outlineLevel="0" collapsed="false">
      <c r="E726" s="9" t="str">
        <f aca="false">IF($B726="","",IFERROR(INDEX(書籍!$B$2:$B$2000,MATCH($B726,書籍!$A$2:$A$2000,0)),"（沒建檔）"))</f>
        <v/>
      </c>
      <c r="F726" s="9" t="str">
        <f aca="false">IF($A726="","",IFERROR(INDEX(會員!$B$2:$B$2000,MATCH($A726,會員!$A$2:$A$2000,0)),"（沒建檔）"))</f>
        <v/>
      </c>
      <c r="G726" s="10" t="str">
        <f aca="false">IF($B726="","",IF($D726="","未還","已還"))</f>
        <v/>
      </c>
    </row>
    <row r="727" customFormat="false" ht="15" hidden="false" customHeight="false" outlineLevel="0" collapsed="false">
      <c r="E727" s="9" t="str">
        <f aca="false">IF($B727="","",IFERROR(INDEX(書籍!$B$2:$B$2000,MATCH($B727,書籍!$A$2:$A$2000,0)),"（沒建檔）"))</f>
        <v/>
      </c>
      <c r="F727" s="9" t="str">
        <f aca="false">IF($A727="","",IFERROR(INDEX(會員!$B$2:$B$2000,MATCH($A727,會員!$A$2:$A$2000,0)),"（沒建檔）"))</f>
        <v/>
      </c>
      <c r="G727" s="10" t="str">
        <f aca="false">IF($B727="","",IF($D727="","未還","已還"))</f>
        <v/>
      </c>
    </row>
    <row r="728" customFormat="false" ht="15" hidden="false" customHeight="false" outlineLevel="0" collapsed="false">
      <c r="E728" s="9" t="str">
        <f aca="false">IF($B728="","",IFERROR(INDEX(書籍!$B$2:$B$2000,MATCH($B728,書籍!$A$2:$A$2000,0)),"（沒建檔）"))</f>
        <v/>
      </c>
      <c r="F728" s="9" t="str">
        <f aca="false">IF($A728="","",IFERROR(INDEX(會員!$B$2:$B$2000,MATCH($A728,會員!$A$2:$A$2000,0)),"（沒建檔）"))</f>
        <v/>
      </c>
      <c r="G728" s="10" t="str">
        <f aca="false">IF($B728="","",IF($D728="","未還","已還"))</f>
        <v/>
      </c>
    </row>
    <row r="729" customFormat="false" ht="15" hidden="false" customHeight="false" outlineLevel="0" collapsed="false">
      <c r="E729" s="9" t="str">
        <f aca="false">IF($B729="","",IFERROR(INDEX(書籍!$B$2:$B$2000,MATCH($B729,書籍!$A$2:$A$2000,0)),"（沒建檔）"))</f>
        <v/>
      </c>
      <c r="F729" s="9" t="str">
        <f aca="false">IF($A729="","",IFERROR(INDEX(會員!$B$2:$B$2000,MATCH($A729,會員!$A$2:$A$2000,0)),"（沒建檔）"))</f>
        <v/>
      </c>
      <c r="G729" s="10" t="str">
        <f aca="false">IF($B729="","",IF($D729="","未還","已還"))</f>
        <v/>
      </c>
    </row>
    <row r="730" customFormat="false" ht="15" hidden="false" customHeight="false" outlineLevel="0" collapsed="false">
      <c r="E730" s="9" t="str">
        <f aca="false">IF($B730="","",IFERROR(INDEX(書籍!$B$2:$B$2000,MATCH($B730,書籍!$A$2:$A$2000,0)),"（沒建檔）"))</f>
        <v/>
      </c>
      <c r="F730" s="9" t="str">
        <f aca="false">IF($A730="","",IFERROR(INDEX(會員!$B$2:$B$2000,MATCH($A730,會員!$A$2:$A$2000,0)),"（沒建檔）"))</f>
        <v/>
      </c>
      <c r="G730" s="10" t="str">
        <f aca="false">IF($B730="","",IF($D730="","未還","已還"))</f>
        <v/>
      </c>
    </row>
    <row r="731" customFormat="false" ht="15" hidden="false" customHeight="false" outlineLevel="0" collapsed="false">
      <c r="E731" s="9" t="str">
        <f aca="false">IF($B731="","",IFERROR(INDEX(書籍!$B$2:$B$2000,MATCH($B731,書籍!$A$2:$A$2000,0)),"（沒建檔）"))</f>
        <v/>
      </c>
      <c r="F731" s="9" t="str">
        <f aca="false">IF($A731="","",IFERROR(INDEX(會員!$B$2:$B$2000,MATCH($A731,會員!$A$2:$A$2000,0)),"（沒建檔）"))</f>
        <v/>
      </c>
      <c r="G731" s="10" t="str">
        <f aca="false">IF($B731="","",IF($D731="","未還","已還"))</f>
        <v/>
      </c>
    </row>
    <row r="732" customFormat="false" ht="15" hidden="false" customHeight="false" outlineLevel="0" collapsed="false">
      <c r="E732" s="9" t="str">
        <f aca="false">IF($B732="","",IFERROR(INDEX(書籍!$B$2:$B$2000,MATCH($B732,書籍!$A$2:$A$2000,0)),"（沒建檔）"))</f>
        <v/>
      </c>
      <c r="F732" s="9" t="str">
        <f aca="false">IF($A732="","",IFERROR(INDEX(會員!$B$2:$B$2000,MATCH($A732,會員!$A$2:$A$2000,0)),"（沒建檔）"))</f>
        <v/>
      </c>
      <c r="G732" s="10" t="str">
        <f aca="false">IF($B732="","",IF($D732="","未還","已還"))</f>
        <v/>
      </c>
    </row>
    <row r="733" customFormat="false" ht="15" hidden="false" customHeight="false" outlineLevel="0" collapsed="false">
      <c r="E733" s="9" t="str">
        <f aca="false">IF($B733="","",IFERROR(INDEX(書籍!$B$2:$B$2000,MATCH($B733,書籍!$A$2:$A$2000,0)),"（沒建檔）"))</f>
        <v/>
      </c>
      <c r="F733" s="9" t="str">
        <f aca="false">IF($A733="","",IFERROR(INDEX(會員!$B$2:$B$2000,MATCH($A733,會員!$A$2:$A$2000,0)),"（沒建檔）"))</f>
        <v/>
      </c>
      <c r="G733" s="10" t="str">
        <f aca="false">IF($B733="","",IF($D733="","未還","已還"))</f>
        <v/>
      </c>
    </row>
    <row r="734" customFormat="false" ht="15" hidden="false" customHeight="false" outlineLevel="0" collapsed="false">
      <c r="E734" s="9" t="str">
        <f aca="false">IF($B734="","",IFERROR(INDEX(書籍!$B$2:$B$2000,MATCH($B734,書籍!$A$2:$A$2000,0)),"（沒建檔）"))</f>
        <v/>
      </c>
      <c r="F734" s="9" t="str">
        <f aca="false">IF($A734="","",IFERROR(INDEX(會員!$B$2:$B$2000,MATCH($A734,會員!$A$2:$A$2000,0)),"（沒建檔）"))</f>
        <v/>
      </c>
      <c r="G734" s="10" t="str">
        <f aca="false">IF($B734="","",IF($D734="","未還","已還"))</f>
        <v/>
      </c>
    </row>
    <row r="735" customFormat="false" ht="15" hidden="false" customHeight="false" outlineLevel="0" collapsed="false">
      <c r="E735" s="9" t="str">
        <f aca="false">IF($B735="","",IFERROR(INDEX(書籍!$B$2:$B$2000,MATCH($B735,書籍!$A$2:$A$2000,0)),"（沒建檔）"))</f>
        <v/>
      </c>
      <c r="F735" s="9" t="str">
        <f aca="false">IF($A735="","",IFERROR(INDEX(會員!$B$2:$B$2000,MATCH($A735,會員!$A$2:$A$2000,0)),"（沒建檔）"))</f>
        <v/>
      </c>
      <c r="G735" s="10" t="str">
        <f aca="false">IF($B735="","",IF($D735="","未還","已還"))</f>
        <v/>
      </c>
    </row>
    <row r="736" customFormat="false" ht="15" hidden="false" customHeight="false" outlineLevel="0" collapsed="false">
      <c r="E736" s="9" t="str">
        <f aca="false">IF($B736="","",IFERROR(INDEX(書籍!$B$2:$B$2000,MATCH($B736,書籍!$A$2:$A$2000,0)),"（沒建檔）"))</f>
        <v/>
      </c>
      <c r="F736" s="9" t="str">
        <f aca="false">IF($A736="","",IFERROR(INDEX(會員!$B$2:$B$2000,MATCH($A736,會員!$A$2:$A$2000,0)),"（沒建檔）"))</f>
        <v/>
      </c>
      <c r="G736" s="10" t="str">
        <f aca="false">IF($B736="","",IF($D736="","未還","已還"))</f>
        <v/>
      </c>
    </row>
    <row r="737" customFormat="false" ht="15" hidden="false" customHeight="false" outlineLevel="0" collapsed="false">
      <c r="E737" s="9" t="str">
        <f aca="false">IF($B737="","",IFERROR(INDEX(書籍!$B$2:$B$2000,MATCH($B737,書籍!$A$2:$A$2000,0)),"（沒建檔）"))</f>
        <v/>
      </c>
      <c r="F737" s="9" t="str">
        <f aca="false">IF($A737="","",IFERROR(INDEX(會員!$B$2:$B$2000,MATCH($A737,會員!$A$2:$A$2000,0)),"（沒建檔）"))</f>
        <v/>
      </c>
      <c r="G737" s="10" t="str">
        <f aca="false">IF($B737="","",IF($D737="","未還","已還"))</f>
        <v/>
      </c>
    </row>
    <row r="738" customFormat="false" ht="15" hidden="false" customHeight="false" outlineLevel="0" collapsed="false">
      <c r="E738" s="9" t="str">
        <f aca="false">IF($B738="","",IFERROR(INDEX(書籍!$B$2:$B$2000,MATCH($B738,書籍!$A$2:$A$2000,0)),"（沒建檔）"))</f>
        <v/>
      </c>
      <c r="F738" s="9" t="str">
        <f aca="false">IF($A738="","",IFERROR(INDEX(會員!$B$2:$B$2000,MATCH($A738,會員!$A$2:$A$2000,0)),"（沒建檔）"))</f>
        <v/>
      </c>
      <c r="G738" s="10" t="str">
        <f aca="false">IF($B738="","",IF($D738="","未還","已還"))</f>
        <v/>
      </c>
    </row>
    <row r="739" customFormat="false" ht="15" hidden="false" customHeight="false" outlineLevel="0" collapsed="false">
      <c r="E739" s="9" t="str">
        <f aca="false">IF($B739="","",IFERROR(INDEX(書籍!$B$2:$B$2000,MATCH($B739,書籍!$A$2:$A$2000,0)),"（沒建檔）"))</f>
        <v/>
      </c>
      <c r="F739" s="9" t="str">
        <f aca="false">IF($A739="","",IFERROR(INDEX(會員!$B$2:$B$2000,MATCH($A739,會員!$A$2:$A$2000,0)),"（沒建檔）"))</f>
        <v/>
      </c>
      <c r="G739" s="10" t="str">
        <f aca="false">IF($B739="","",IF($D739="","未還","已還"))</f>
        <v/>
      </c>
    </row>
    <row r="740" customFormat="false" ht="15" hidden="false" customHeight="false" outlineLevel="0" collapsed="false">
      <c r="E740" s="9" t="str">
        <f aca="false">IF($B740="","",IFERROR(INDEX(書籍!$B$2:$B$2000,MATCH($B740,書籍!$A$2:$A$2000,0)),"（沒建檔）"))</f>
        <v/>
      </c>
      <c r="F740" s="9" t="str">
        <f aca="false">IF($A740="","",IFERROR(INDEX(會員!$B$2:$B$2000,MATCH($A740,會員!$A$2:$A$2000,0)),"（沒建檔）"))</f>
        <v/>
      </c>
      <c r="G740" s="10" t="str">
        <f aca="false">IF($B740="","",IF($D740="","未還","已還"))</f>
        <v/>
      </c>
    </row>
    <row r="741" customFormat="false" ht="15" hidden="false" customHeight="false" outlineLevel="0" collapsed="false">
      <c r="E741" s="9" t="str">
        <f aca="false">IF($B741="","",IFERROR(INDEX(書籍!$B$2:$B$2000,MATCH($B741,書籍!$A$2:$A$2000,0)),"（沒建檔）"))</f>
        <v/>
      </c>
      <c r="F741" s="9" t="str">
        <f aca="false">IF($A741="","",IFERROR(INDEX(會員!$B$2:$B$2000,MATCH($A741,會員!$A$2:$A$2000,0)),"（沒建檔）"))</f>
        <v/>
      </c>
      <c r="G741" s="10" t="str">
        <f aca="false">IF($B741="","",IF($D741="","未還","已還"))</f>
        <v/>
      </c>
    </row>
    <row r="742" customFormat="false" ht="15" hidden="false" customHeight="false" outlineLevel="0" collapsed="false">
      <c r="E742" s="9" t="str">
        <f aca="false">IF($B742="","",IFERROR(INDEX(書籍!$B$2:$B$2000,MATCH($B742,書籍!$A$2:$A$2000,0)),"（沒建檔）"))</f>
        <v/>
      </c>
      <c r="F742" s="9" t="str">
        <f aca="false">IF($A742="","",IFERROR(INDEX(會員!$B$2:$B$2000,MATCH($A742,會員!$A$2:$A$2000,0)),"（沒建檔）"))</f>
        <v/>
      </c>
      <c r="G742" s="10" t="str">
        <f aca="false">IF($B742="","",IF($D742="","未還","已還"))</f>
        <v/>
      </c>
    </row>
    <row r="743" customFormat="false" ht="15" hidden="false" customHeight="false" outlineLevel="0" collapsed="false">
      <c r="E743" s="9" t="str">
        <f aca="false">IF($B743="","",IFERROR(INDEX(書籍!$B$2:$B$2000,MATCH($B743,書籍!$A$2:$A$2000,0)),"（沒建檔）"))</f>
        <v/>
      </c>
      <c r="F743" s="9" t="str">
        <f aca="false">IF($A743="","",IFERROR(INDEX(會員!$B$2:$B$2000,MATCH($A743,會員!$A$2:$A$2000,0)),"（沒建檔）"))</f>
        <v/>
      </c>
      <c r="G743" s="10" t="str">
        <f aca="false">IF($B743="","",IF($D743="","未還","已還"))</f>
        <v/>
      </c>
    </row>
    <row r="744" customFormat="false" ht="15" hidden="false" customHeight="false" outlineLevel="0" collapsed="false">
      <c r="E744" s="9" t="str">
        <f aca="false">IF($B744="","",IFERROR(INDEX(書籍!$B$2:$B$2000,MATCH($B744,書籍!$A$2:$A$2000,0)),"（沒建檔）"))</f>
        <v/>
      </c>
      <c r="F744" s="9" t="str">
        <f aca="false">IF($A744="","",IFERROR(INDEX(會員!$B$2:$B$2000,MATCH($A744,會員!$A$2:$A$2000,0)),"（沒建檔）"))</f>
        <v/>
      </c>
      <c r="G744" s="10" t="str">
        <f aca="false">IF($B744="","",IF($D744="","未還","已還"))</f>
        <v/>
      </c>
    </row>
    <row r="745" customFormat="false" ht="15" hidden="false" customHeight="false" outlineLevel="0" collapsed="false">
      <c r="E745" s="9" t="str">
        <f aca="false">IF($B745="","",IFERROR(INDEX(書籍!$B$2:$B$2000,MATCH($B745,書籍!$A$2:$A$2000,0)),"（沒建檔）"))</f>
        <v/>
      </c>
      <c r="F745" s="9" t="str">
        <f aca="false">IF($A745="","",IFERROR(INDEX(會員!$B$2:$B$2000,MATCH($A745,會員!$A$2:$A$2000,0)),"（沒建檔）"))</f>
        <v/>
      </c>
      <c r="G745" s="10" t="str">
        <f aca="false">IF($B745="","",IF($D745="","未還","已還"))</f>
        <v/>
      </c>
    </row>
    <row r="746" customFormat="false" ht="15" hidden="false" customHeight="false" outlineLevel="0" collapsed="false">
      <c r="E746" s="9" t="str">
        <f aca="false">IF($B746="","",IFERROR(INDEX(書籍!$B$2:$B$2000,MATCH($B746,書籍!$A$2:$A$2000,0)),"（沒建檔）"))</f>
        <v/>
      </c>
      <c r="F746" s="9" t="str">
        <f aca="false">IF($A746="","",IFERROR(INDEX(會員!$B$2:$B$2000,MATCH($A746,會員!$A$2:$A$2000,0)),"（沒建檔）"))</f>
        <v/>
      </c>
      <c r="G746" s="10" t="str">
        <f aca="false">IF($B746="","",IF($D746="","未還","已還"))</f>
        <v/>
      </c>
    </row>
    <row r="747" customFormat="false" ht="15" hidden="false" customHeight="false" outlineLevel="0" collapsed="false">
      <c r="E747" s="9" t="str">
        <f aca="false">IF($B747="","",IFERROR(INDEX(書籍!$B$2:$B$2000,MATCH($B747,書籍!$A$2:$A$2000,0)),"（沒建檔）"))</f>
        <v/>
      </c>
      <c r="F747" s="9" t="str">
        <f aca="false">IF($A747="","",IFERROR(INDEX(會員!$B$2:$B$2000,MATCH($A747,會員!$A$2:$A$2000,0)),"（沒建檔）"))</f>
        <v/>
      </c>
      <c r="G747" s="10" t="str">
        <f aca="false">IF($B747="","",IF($D747="","未還","已還"))</f>
        <v/>
      </c>
    </row>
    <row r="748" customFormat="false" ht="15" hidden="false" customHeight="false" outlineLevel="0" collapsed="false">
      <c r="E748" s="9" t="str">
        <f aca="false">IF($B748="","",IFERROR(INDEX(書籍!$B$2:$B$2000,MATCH($B748,書籍!$A$2:$A$2000,0)),"（沒建檔）"))</f>
        <v/>
      </c>
      <c r="F748" s="9" t="str">
        <f aca="false">IF($A748="","",IFERROR(INDEX(會員!$B$2:$B$2000,MATCH($A748,會員!$A$2:$A$2000,0)),"（沒建檔）"))</f>
        <v/>
      </c>
      <c r="G748" s="10" t="str">
        <f aca="false">IF($B748="","",IF($D748="","未還","已還"))</f>
        <v/>
      </c>
    </row>
    <row r="749" customFormat="false" ht="15" hidden="false" customHeight="false" outlineLevel="0" collapsed="false">
      <c r="E749" s="9" t="str">
        <f aca="false">IF($B749="","",IFERROR(INDEX(書籍!$B$2:$B$2000,MATCH($B749,書籍!$A$2:$A$2000,0)),"（沒建檔）"))</f>
        <v/>
      </c>
      <c r="F749" s="9" t="str">
        <f aca="false">IF($A749="","",IFERROR(INDEX(會員!$B$2:$B$2000,MATCH($A749,會員!$A$2:$A$2000,0)),"（沒建檔）"))</f>
        <v/>
      </c>
      <c r="G749" s="10" t="str">
        <f aca="false">IF($B749="","",IF($D749="","未還","已還"))</f>
        <v/>
      </c>
    </row>
    <row r="750" customFormat="false" ht="15" hidden="false" customHeight="false" outlineLevel="0" collapsed="false">
      <c r="E750" s="9" t="str">
        <f aca="false">IF($B750="","",IFERROR(INDEX(書籍!$B$2:$B$2000,MATCH($B750,書籍!$A$2:$A$2000,0)),"（沒建檔）"))</f>
        <v/>
      </c>
      <c r="F750" s="9" t="str">
        <f aca="false">IF($A750="","",IFERROR(INDEX(會員!$B$2:$B$2000,MATCH($A750,會員!$A$2:$A$2000,0)),"（沒建檔）"))</f>
        <v/>
      </c>
      <c r="G750" s="10" t="str">
        <f aca="false">IF($B750="","",IF($D750="","未還","已還"))</f>
        <v/>
      </c>
    </row>
    <row r="751" customFormat="false" ht="15" hidden="false" customHeight="false" outlineLevel="0" collapsed="false">
      <c r="E751" s="9" t="str">
        <f aca="false">IF($B751="","",IFERROR(INDEX(書籍!$B$2:$B$2000,MATCH($B751,書籍!$A$2:$A$2000,0)),"（沒建檔）"))</f>
        <v/>
      </c>
      <c r="F751" s="9" t="str">
        <f aca="false">IF($A751="","",IFERROR(INDEX(會員!$B$2:$B$2000,MATCH($A751,會員!$A$2:$A$2000,0)),"（沒建檔）"))</f>
        <v/>
      </c>
      <c r="G751" s="10" t="str">
        <f aca="false">IF($B751="","",IF($D751="","未還","已還"))</f>
        <v/>
      </c>
    </row>
    <row r="752" customFormat="false" ht="15" hidden="false" customHeight="false" outlineLevel="0" collapsed="false">
      <c r="E752" s="9" t="str">
        <f aca="false">IF($B752="","",IFERROR(INDEX(書籍!$B$2:$B$2000,MATCH($B752,書籍!$A$2:$A$2000,0)),"（沒建檔）"))</f>
        <v/>
      </c>
      <c r="F752" s="9" t="str">
        <f aca="false">IF($A752="","",IFERROR(INDEX(會員!$B$2:$B$2000,MATCH($A752,會員!$A$2:$A$2000,0)),"（沒建檔）"))</f>
        <v/>
      </c>
      <c r="G752" s="10" t="str">
        <f aca="false">IF($B752="","",IF($D752="","未還","已還"))</f>
        <v/>
      </c>
    </row>
    <row r="753" customFormat="false" ht="15" hidden="false" customHeight="false" outlineLevel="0" collapsed="false">
      <c r="E753" s="9" t="str">
        <f aca="false">IF($B753="","",IFERROR(INDEX(書籍!$B$2:$B$2000,MATCH($B753,書籍!$A$2:$A$2000,0)),"（沒建檔）"))</f>
        <v/>
      </c>
      <c r="F753" s="9" t="str">
        <f aca="false">IF($A753="","",IFERROR(INDEX(會員!$B$2:$B$2000,MATCH($A753,會員!$A$2:$A$2000,0)),"（沒建檔）"))</f>
        <v/>
      </c>
      <c r="G753" s="10" t="str">
        <f aca="false">IF($B753="","",IF($D753="","未還","已還"))</f>
        <v/>
      </c>
    </row>
    <row r="754" customFormat="false" ht="15" hidden="false" customHeight="false" outlineLevel="0" collapsed="false">
      <c r="E754" s="9" t="str">
        <f aca="false">IF($B754="","",IFERROR(INDEX(書籍!$B$2:$B$2000,MATCH($B754,書籍!$A$2:$A$2000,0)),"（沒建檔）"))</f>
        <v/>
      </c>
      <c r="F754" s="9" t="str">
        <f aca="false">IF($A754="","",IFERROR(INDEX(會員!$B$2:$B$2000,MATCH($A754,會員!$A$2:$A$2000,0)),"（沒建檔）"))</f>
        <v/>
      </c>
      <c r="G754" s="10" t="str">
        <f aca="false">IF($B754="","",IF($D754="","未還","已還"))</f>
        <v/>
      </c>
    </row>
    <row r="755" customFormat="false" ht="15" hidden="false" customHeight="false" outlineLevel="0" collapsed="false">
      <c r="E755" s="9" t="str">
        <f aca="false">IF($B755="","",IFERROR(INDEX(書籍!$B$2:$B$2000,MATCH($B755,書籍!$A$2:$A$2000,0)),"（沒建檔）"))</f>
        <v/>
      </c>
      <c r="F755" s="9" t="str">
        <f aca="false">IF($A755="","",IFERROR(INDEX(會員!$B$2:$B$2000,MATCH($A755,會員!$A$2:$A$2000,0)),"（沒建檔）"))</f>
        <v/>
      </c>
      <c r="G755" s="10" t="str">
        <f aca="false">IF($B755="","",IF($D755="","未還","已還"))</f>
        <v/>
      </c>
    </row>
    <row r="756" customFormat="false" ht="15" hidden="false" customHeight="false" outlineLevel="0" collapsed="false">
      <c r="E756" s="9" t="str">
        <f aca="false">IF($B756="","",IFERROR(INDEX(書籍!$B$2:$B$2000,MATCH($B756,書籍!$A$2:$A$2000,0)),"（沒建檔）"))</f>
        <v/>
      </c>
      <c r="F756" s="9" t="str">
        <f aca="false">IF($A756="","",IFERROR(INDEX(會員!$B$2:$B$2000,MATCH($A756,會員!$A$2:$A$2000,0)),"（沒建檔）"))</f>
        <v/>
      </c>
      <c r="G756" s="10" t="str">
        <f aca="false">IF($B756="","",IF($D756="","未還","已還"))</f>
        <v/>
      </c>
    </row>
    <row r="757" customFormat="false" ht="15" hidden="false" customHeight="false" outlineLevel="0" collapsed="false">
      <c r="E757" s="9" t="str">
        <f aca="false">IF($B757="","",IFERROR(INDEX(書籍!$B$2:$B$2000,MATCH($B757,書籍!$A$2:$A$2000,0)),"（沒建檔）"))</f>
        <v/>
      </c>
      <c r="F757" s="9" t="str">
        <f aca="false">IF($A757="","",IFERROR(INDEX(會員!$B$2:$B$2000,MATCH($A757,會員!$A$2:$A$2000,0)),"（沒建檔）"))</f>
        <v/>
      </c>
      <c r="G757" s="10" t="str">
        <f aca="false">IF($B757="","",IF($D757="","未還","已還"))</f>
        <v/>
      </c>
    </row>
    <row r="758" customFormat="false" ht="15" hidden="false" customHeight="false" outlineLevel="0" collapsed="false">
      <c r="E758" s="9" t="str">
        <f aca="false">IF($B758="","",IFERROR(INDEX(書籍!$B$2:$B$2000,MATCH($B758,書籍!$A$2:$A$2000,0)),"（沒建檔）"))</f>
        <v/>
      </c>
      <c r="F758" s="9" t="str">
        <f aca="false">IF($A758="","",IFERROR(INDEX(會員!$B$2:$B$2000,MATCH($A758,會員!$A$2:$A$2000,0)),"（沒建檔）"))</f>
        <v/>
      </c>
      <c r="G758" s="10" t="str">
        <f aca="false">IF($B758="","",IF($D758="","未還","已還"))</f>
        <v/>
      </c>
    </row>
    <row r="759" customFormat="false" ht="15" hidden="false" customHeight="false" outlineLevel="0" collapsed="false">
      <c r="E759" s="9" t="str">
        <f aca="false">IF($B759="","",IFERROR(INDEX(書籍!$B$2:$B$2000,MATCH($B759,書籍!$A$2:$A$2000,0)),"（沒建檔）"))</f>
        <v/>
      </c>
      <c r="F759" s="9" t="str">
        <f aca="false">IF($A759="","",IFERROR(INDEX(會員!$B$2:$B$2000,MATCH($A759,會員!$A$2:$A$2000,0)),"（沒建檔）"))</f>
        <v/>
      </c>
      <c r="G759" s="10" t="str">
        <f aca="false">IF($B759="","",IF($D759="","未還","已還"))</f>
        <v/>
      </c>
    </row>
    <row r="760" customFormat="false" ht="15" hidden="false" customHeight="false" outlineLevel="0" collapsed="false">
      <c r="E760" s="9" t="str">
        <f aca="false">IF($B760="","",IFERROR(INDEX(書籍!$B$2:$B$2000,MATCH($B760,書籍!$A$2:$A$2000,0)),"（沒建檔）"))</f>
        <v/>
      </c>
      <c r="F760" s="9" t="str">
        <f aca="false">IF($A760="","",IFERROR(INDEX(會員!$B$2:$B$2000,MATCH($A760,會員!$A$2:$A$2000,0)),"（沒建檔）"))</f>
        <v/>
      </c>
      <c r="G760" s="10" t="str">
        <f aca="false">IF($B760="","",IF($D760="","未還","已還"))</f>
        <v/>
      </c>
    </row>
    <row r="761" customFormat="false" ht="15" hidden="false" customHeight="false" outlineLevel="0" collapsed="false">
      <c r="E761" s="9" t="str">
        <f aca="false">IF($B761="","",IFERROR(INDEX(書籍!$B$2:$B$2000,MATCH($B761,書籍!$A$2:$A$2000,0)),"（沒建檔）"))</f>
        <v/>
      </c>
      <c r="F761" s="9" t="str">
        <f aca="false">IF($A761="","",IFERROR(INDEX(會員!$B$2:$B$2000,MATCH($A761,會員!$A$2:$A$2000,0)),"（沒建檔）"))</f>
        <v/>
      </c>
      <c r="G761" s="10" t="str">
        <f aca="false">IF($B761="","",IF($D761="","未還","已還"))</f>
        <v/>
      </c>
    </row>
    <row r="762" customFormat="false" ht="15" hidden="false" customHeight="false" outlineLevel="0" collapsed="false">
      <c r="E762" s="9" t="str">
        <f aca="false">IF($B762="","",IFERROR(INDEX(書籍!$B$2:$B$2000,MATCH($B762,書籍!$A$2:$A$2000,0)),"（沒建檔）"))</f>
        <v/>
      </c>
      <c r="F762" s="9" t="str">
        <f aca="false">IF($A762="","",IFERROR(INDEX(會員!$B$2:$B$2000,MATCH($A762,會員!$A$2:$A$2000,0)),"（沒建檔）"))</f>
        <v/>
      </c>
      <c r="G762" s="10" t="str">
        <f aca="false">IF($B762="","",IF($D762="","未還","已還"))</f>
        <v/>
      </c>
    </row>
    <row r="763" customFormat="false" ht="15" hidden="false" customHeight="false" outlineLevel="0" collapsed="false">
      <c r="E763" s="9" t="str">
        <f aca="false">IF($B763="","",IFERROR(INDEX(書籍!$B$2:$B$2000,MATCH($B763,書籍!$A$2:$A$2000,0)),"（沒建檔）"))</f>
        <v/>
      </c>
      <c r="F763" s="9" t="str">
        <f aca="false">IF($A763="","",IFERROR(INDEX(會員!$B$2:$B$2000,MATCH($A763,會員!$A$2:$A$2000,0)),"（沒建檔）"))</f>
        <v/>
      </c>
      <c r="G763" s="10" t="str">
        <f aca="false">IF($B763="","",IF($D763="","未還","已還"))</f>
        <v/>
      </c>
    </row>
    <row r="764" customFormat="false" ht="15" hidden="false" customHeight="false" outlineLevel="0" collapsed="false">
      <c r="E764" s="9" t="str">
        <f aca="false">IF($B764="","",IFERROR(INDEX(書籍!$B$2:$B$2000,MATCH($B764,書籍!$A$2:$A$2000,0)),"（沒建檔）"))</f>
        <v/>
      </c>
      <c r="F764" s="9" t="str">
        <f aca="false">IF($A764="","",IFERROR(INDEX(會員!$B$2:$B$2000,MATCH($A764,會員!$A$2:$A$2000,0)),"（沒建檔）"))</f>
        <v/>
      </c>
      <c r="G764" s="10" t="str">
        <f aca="false">IF($B764="","",IF($D764="","未還","已還"))</f>
        <v/>
      </c>
    </row>
    <row r="765" customFormat="false" ht="15" hidden="false" customHeight="false" outlineLevel="0" collapsed="false">
      <c r="E765" s="9" t="str">
        <f aca="false">IF($B765="","",IFERROR(INDEX(書籍!$B$2:$B$2000,MATCH($B765,書籍!$A$2:$A$2000,0)),"（沒建檔）"))</f>
        <v/>
      </c>
      <c r="F765" s="9" t="str">
        <f aca="false">IF($A765="","",IFERROR(INDEX(會員!$B$2:$B$2000,MATCH($A765,會員!$A$2:$A$2000,0)),"（沒建檔）"))</f>
        <v/>
      </c>
      <c r="G765" s="10" t="str">
        <f aca="false">IF($B765="","",IF($D765="","未還","已還"))</f>
        <v/>
      </c>
    </row>
    <row r="766" customFormat="false" ht="15" hidden="false" customHeight="false" outlineLevel="0" collapsed="false">
      <c r="E766" s="9" t="str">
        <f aca="false">IF($B766="","",IFERROR(INDEX(書籍!$B$2:$B$2000,MATCH($B766,書籍!$A$2:$A$2000,0)),"（沒建檔）"))</f>
        <v/>
      </c>
      <c r="F766" s="9" t="str">
        <f aca="false">IF($A766="","",IFERROR(INDEX(會員!$B$2:$B$2000,MATCH($A766,會員!$A$2:$A$2000,0)),"（沒建檔）"))</f>
        <v/>
      </c>
      <c r="G766" s="10" t="str">
        <f aca="false">IF($B766="","",IF($D766="","未還","已還"))</f>
        <v/>
      </c>
    </row>
    <row r="767" customFormat="false" ht="15" hidden="false" customHeight="false" outlineLevel="0" collapsed="false">
      <c r="E767" s="9" t="str">
        <f aca="false">IF($B767="","",IFERROR(INDEX(書籍!$B$2:$B$2000,MATCH($B767,書籍!$A$2:$A$2000,0)),"（沒建檔）"))</f>
        <v/>
      </c>
      <c r="F767" s="9" t="str">
        <f aca="false">IF($A767="","",IFERROR(INDEX(會員!$B$2:$B$2000,MATCH($A767,會員!$A$2:$A$2000,0)),"（沒建檔）"))</f>
        <v/>
      </c>
      <c r="G767" s="10" t="str">
        <f aca="false">IF($B767="","",IF($D767="","未還","已還"))</f>
        <v/>
      </c>
    </row>
    <row r="768" customFormat="false" ht="15" hidden="false" customHeight="false" outlineLevel="0" collapsed="false">
      <c r="E768" s="9" t="str">
        <f aca="false">IF($B768="","",IFERROR(INDEX(書籍!$B$2:$B$2000,MATCH($B768,書籍!$A$2:$A$2000,0)),"（沒建檔）"))</f>
        <v/>
      </c>
      <c r="F768" s="9" t="str">
        <f aca="false">IF($A768="","",IFERROR(INDEX(會員!$B$2:$B$2000,MATCH($A768,會員!$A$2:$A$2000,0)),"（沒建檔）"))</f>
        <v/>
      </c>
      <c r="G768" s="10" t="str">
        <f aca="false">IF($B768="","",IF($D768="","未還","已還"))</f>
        <v/>
      </c>
    </row>
    <row r="769" customFormat="false" ht="15" hidden="false" customHeight="false" outlineLevel="0" collapsed="false">
      <c r="E769" s="9" t="str">
        <f aca="false">IF($B769="","",IFERROR(INDEX(書籍!$B$2:$B$2000,MATCH($B769,書籍!$A$2:$A$2000,0)),"（沒建檔）"))</f>
        <v/>
      </c>
      <c r="F769" s="9" t="str">
        <f aca="false">IF($A769="","",IFERROR(INDEX(會員!$B$2:$B$2000,MATCH($A769,會員!$A$2:$A$2000,0)),"（沒建檔）"))</f>
        <v/>
      </c>
      <c r="G769" s="10" t="str">
        <f aca="false">IF($B769="","",IF($D769="","未還","已還"))</f>
        <v/>
      </c>
    </row>
    <row r="770" customFormat="false" ht="15" hidden="false" customHeight="false" outlineLevel="0" collapsed="false">
      <c r="E770" s="9" t="str">
        <f aca="false">IF($B770="","",IFERROR(INDEX(書籍!$B$2:$B$2000,MATCH($B770,書籍!$A$2:$A$2000,0)),"（沒建檔）"))</f>
        <v/>
      </c>
      <c r="F770" s="9" t="str">
        <f aca="false">IF($A770="","",IFERROR(INDEX(會員!$B$2:$B$2000,MATCH($A770,會員!$A$2:$A$2000,0)),"（沒建檔）"))</f>
        <v/>
      </c>
      <c r="G770" s="10" t="str">
        <f aca="false">IF($B770="","",IF($D770="","未還","已還"))</f>
        <v/>
      </c>
    </row>
    <row r="771" customFormat="false" ht="15" hidden="false" customHeight="false" outlineLevel="0" collapsed="false">
      <c r="E771" s="9" t="str">
        <f aca="false">IF($B771="","",IFERROR(INDEX(書籍!$B$2:$B$2000,MATCH($B771,書籍!$A$2:$A$2000,0)),"（沒建檔）"))</f>
        <v/>
      </c>
      <c r="F771" s="9" t="str">
        <f aca="false">IF($A771="","",IFERROR(INDEX(會員!$B$2:$B$2000,MATCH($A771,會員!$A$2:$A$2000,0)),"（沒建檔）"))</f>
        <v/>
      </c>
      <c r="G771" s="10" t="str">
        <f aca="false">IF($B771="","",IF($D771="","未還","已還"))</f>
        <v/>
      </c>
    </row>
    <row r="772" customFormat="false" ht="15" hidden="false" customHeight="false" outlineLevel="0" collapsed="false">
      <c r="E772" s="9" t="str">
        <f aca="false">IF($B772="","",IFERROR(INDEX(書籍!$B$2:$B$2000,MATCH($B772,書籍!$A$2:$A$2000,0)),"（沒建檔）"))</f>
        <v/>
      </c>
      <c r="F772" s="9" t="str">
        <f aca="false">IF($A772="","",IFERROR(INDEX(會員!$B$2:$B$2000,MATCH($A772,會員!$A$2:$A$2000,0)),"（沒建檔）"))</f>
        <v/>
      </c>
      <c r="G772" s="10" t="str">
        <f aca="false">IF($B772="","",IF($D772="","未還","已還"))</f>
        <v/>
      </c>
    </row>
    <row r="773" customFormat="false" ht="15" hidden="false" customHeight="false" outlineLevel="0" collapsed="false">
      <c r="E773" s="9" t="str">
        <f aca="false">IF($B773="","",IFERROR(INDEX(書籍!$B$2:$B$2000,MATCH($B773,書籍!$A$2:$A$2000,0)),"（沒建檔）"))</f>
        <v/>
      </c>
      <c r="F773" s="9" t="str">
        <f aca="false">IF($A773="","",IFERROR(INDEX(會員!$B$2:$B$2000,MATCH($A773,會員!$A$2:$A$2000,0)),"（沒建檔）"))</f>
        <v/>
      </c>
      <c r="G773" s="10" t="str">
        <f aca="false">IF($B773="","",IF($D773="","未還","已還"))</f>
        <v/>
      </c>
    </row>
    <row r="774" customFormat="false" ht="15" hidden="false" customHeight="false" outlineLevel="0" collapsed="false">
      <c r="E774" s="9" t="str">
        <f aca="false">IF($B774="","",IFERROR(INDEX(書籍!$B$2:$B$2000,MATCH($B774,書籍!$A$2:$A$2000,0)),"（沒建檔）"))</f>
        <v/>
      </c>
      <c r="F774" s="9" t="str">
        <f aca="false">IF($A774="","",IFERROR(INDEX(會員!$B$2:$B$2000,MATCH($A774,會員!$A$2:$A$2000,0)),"（沒建檔）"))</f>
        <v/>
      </c>
      <c r="G774" s="10" t="str">
        <f aca="false">IF($B774="","",IF($D774="","未還","已還"))</f>
        <v/>
      </c>
    </row>
    <row r="775" customFormat="false" ht="15" hidden="false" customHeight="false" outlineLevel="0" collapsed="false">
      <c r="E775" s="9" t="str">
        <f aca="false">IF($B775="","",IFERROR(INDEX(書籍!$B$2:$B$2000,MATCH($B775,書籍!$A$2:$A$2000,0)),"（沒建檔）"))</f>
        <v/>
      </c>
      <c r="F775" s="9" t="str">
        <f aca="false">IF($A775="","",IFERROR(INDEX(會員!$B$2:$B$2000,MATCH($A775,會員!$A$2:$A$2000,0)),"（沒建檔）"))</f>
        <v/>
      </c>
      <c r="G775" s="10" t="str">
        <f aca="false">IF($B775="","",IF($D775="","未還","已還"))</f>
        <v/>
      </c>
    </row>
    <row r="776" customFormat="false" ht="15" hidden="false" customHeight="false" outlineLevel="0" collapsed="false">
      <c r="E776" s="9" t="str">
        <f aca="false">IF($B776="","",IFERROR(INDEX(書籍!$B$2:$B$2000,MATCH($B776,書籍!$A$2:$A$2000,0)),"（沒建檔）"))</f>
        <v/>
      </c>
      <c r="F776" s="9" t="str">
        <f aca="false">IF($A776="","",IFERROR(INDEX(會員!$B$2:$B$2000,MATCH($A776,會員!$A$2:$A$2000,0)),"（沒建檔）"))</f>
        <v/>
      </c>
      <c r="G776" s="10" t="str">
        <f aca="false">IF($B776="","",IF($D776="","未還","已還"))</f>
        <v/>
      </c>
    </row>
    <row r="777" customFormat="false" ht="15" hidden="false" customHeight="false" outlineLevel="0" collapsed="false">
      <c r="E777" s="9" t="str">
        <f aca="false">IF($B777="","",IFERROR(INDEX(書籍!$B$2:$B$2000,MATCH($B777,書籍!$A$2:$A$2000,0)),"（沒建檔）"))</f>
        <v/>
      </c>
      <c r="F777" s="9" t="str">
        <f aca="false">IF($A777="","",IFERROR(INDEX(會員!$B$2:$B$2000,MATCH($A777,會員!$A$2:$A$2000,0)),"（沒建檔）"))</f>
        <v/>
      </c>
      <c r="G777" s="10" t="str">
        <f aca="false">IF($B777="","",IF($D777="","未還","已還"))</f>
        <v/>
      </c>
    </row>
    <row r="778" customFormat="false" ht="15" hidden="false" customHeight="false" outlineLevel="0" collapsed="false">
      <c r="E778" s="9" t="str">
        <f aca="false">IF($B778="","",IFERROR(INDEX(書籍!$B$2:$B$2000,MATCH($B778,書籍!$A$2:$A$2000,0)),"（沒建檔）"))</f>
        <v/>
      </c>
      <c r="F778" s="9" t="str">
        <f aca="false">IF($A778="","",IFERROR(INDEX(會員!$B$2:$B$2000,MATCH($A778,會員!$A$2:$A$2000,0)),"（沒建檔）"))</f>
        <v/>
      </c>
      <c r="G778" s="10" t="str">
        <f aca="false">IF($B778="","",IF($D778="","未還","已還"))</f>
        <v/>
      </c>
    </row>
    <row r="779" customFormat="false" ht="15" hidden="false" customHeight="false" outlineLevel="0" collapsed="false">
      <c r="E779" s="9" t="str">
        <f aca="false">IF($B779="","",IFERROR(INDEX(書籍!$B$2:$B$2000,MATCH($B779,書籍!$A$2:$A$2000,0)),"（沒建檔）"))</f>
        <v/>
      </c>
      <c r="F779" s="9" t="str">
        <f aca="false">IF($A779="","",IFERROR(INDEX(會員!$B$2:$B$2000,MATCH($A779,會員!$A$2:$A$2000,0)),"（沒建檔）"))</f>
        <v/>
      </c>
      <c r="G779" s="10" t="str">
        <f aca="false">IF($B779="","",IF($D779="","未還","已還"))</f>
        <v/>
      </c>
    </row>
    <row r="780" customFormat="false" ht="15" hidden="false" customHeight="false" outlineLevel="0" collapsed="false">
      <c r="E780" s="9" t="str">
        <f aca="false">IF($B780="","",IFERROR(INDEX(書籍!$B$2:$B$2000,MATCH($B780,書籍!$A$2:$A$2000,0)),"（沒建檔）"))</f>
        <v/>
      </c>
      <c r="F780" s="9" t="str">
        <f aca="false">IF($A780="","",IFERROR(INDEX(會員!$B$2:$B$2000,MATCH($A780,會員!$A$2:$A$2000,0)),"（沒建檔）"))</f>
        <v/>
      </c>
      <c r="G780" s="10" t="str">
        <f aca="false">IF($B780="","",IF($D780="","未還","已還"))</f>
        <v/>
      </c>
    </row>
    <row r="781" customFormat="false" ht="15" hidden="false" customHeight="false" outlineLevel="0" collapsed="false">
      <c r="E781" s="9" t="str">
        <f aca="false">IF($B781="","",IFERROR(INDEX(書籍!$B$2:$B$2000,MATCH($B781,書籍!$A$2:$A$2000,0)),"（沒建檔）"))</f>
        <v/>
      </c>
      <c r="F781" s="9" t="str">
        <f aca="false">IF($A781="","",IFERROR(INDEX(會員!$B$2:$B$2000,MATCH($A781,會員!$A$2:$A$2000,0)),"（沒建檔）"))</f>
        <v/>
      </c>
      <c r="G781" s="10" t="str">
        <f aca="false">IF($B781="","",IF($D781="","未還","已還"))</f>
        <v/>
      </c>
    </row>
    <row r="782" customFormat="false" ht="15" hidden="false" customHeight="false" outlineLevel="0" collapsed="false">
      <c r="E782" s="9" t="str">
        <f aca="false">IF($B782="","",IFERROR(INDEX(書籍!$B$2:$B$2000,MATCH($B782,書籍!$A$2:$A$2000,0)),"（沒建檔）"))</f>
        <v/>
      </c>
      <c r="F782" s="9" t="str">
        <f aca="false">IF($A782="","",IFERROR(INDEX(會員!$B$2:$B$2000,MATCH($A782,會員!$A$2:$A$2000,0)),"（沒建檔）"))</f>
        <v/>
      </c>
      <c r="G782" s="10" t="str">
        <f aca="false">IF($B782="","",IF($D782="","未還","已還"))</f>
        <v/>
      </c>
    </row>
    <row r="783" customFormat="false" ht="15" hidden="false" customHeight="false" outlineLevel="0" collapsed="false">
      <c r="E783" s="9" t="str">
        <f aca="false">IF($B783="","",IFERROR(INDEX(書籍!$B$2:$B$2000,MATCH($B783,書籍!$A$2:$A$2000,0)),"（沒建檔）"))</f>
        <v/>
      </c>
      <c r="F783" s="9" t="str">
        <f aca="false">IF($A783="","",IFERROR(INDEX(會員!$B$2:$B$2000,MATCH($A783,會員!$A$2:$A$2000,0)),"（沒建檔）"))</f>
        <v/>
      </c>
      <c r="G783" s="10" t="str">
        <f aca="false">IF($B783="","",IF($D783="","未還","已還"))</f>
        <v/>
      </c>
    </row>
    <row r="784" customFormat="false" ht="15" hidden="false" customHeight="false" outlineLevel="0" collapsed="false">
      <c r="E784" s="9" t="str">
        <f aca="false">IF($B784="","",IFERROR(INDEX(書籍!$B$2:$B$2000,MATCH($B784,書籍!$A$2:$A$2000,0)),"（沒建檔）"))</f>
        <v/>
      </c>
      <c r="F784" s="9" t="str">
        <f aca="false">IF($A784="","",IFERROR(INDEX(會員!$B$2:$B$2000,MATCH($A784,會員!$A$2:$A$2000,0)),"（沒建檔）"))</f>
        <v/>
      </c>
      <c r="G784" s="10" t="str">
        <f aca="false">IF($B784="","",IF($D784="","未還","已還"))</f>
        <v/>
      </c>
    </row>
    <row r="785" customFormat="false" ht="15" hidden="false" customHeight="false" outlineLevel="0" collapsed="false">
      <c r="E785" s="9" t="str">
        <f aca="false">IF($B785="","",IFERROR(INDEX(書籍!$B$2:$B$2000,MATCH($B785,書籍!$A$2:$A$2000,0)),"（沒建檔）"))</f>
        <v/>
      </c>
      <c r="F785" s="9" t="str">
        <f aca="false">IF($A785="","",IFERROR(INDEX(會員!$B$2:$B$2000,MATCH($A785,會員!$A$2:$A$2000,0)),"（沒建檔）"))</f>
        <v/>
      </c>
      <c r="G785" s="10" t="str">
        <f aca="false">IF($B785="","",IF($D785="","未還","已還"))</f>
        <v/>
      </c>
    </row>
    <row r="786" customFormat="false" ht="15" hidden="false" customHeight="false" outlineLevel="0" collapsed="false">
      <c r="E786" s="9" t="str">
        <f aca="false">IF($B786="","",IFERROR(INDEX(書籍!$B$2:$B$2000,MATCH($B786,書籍!$A$2:$A$2000,0)),"（沒建檔）"))</f>
        <v/>
      </c>
      <c r="F786" s="9" t="str">
        <f aca="false">IF($A786="","",IFERROR(INDEX(會員!$B$2:$B$2000,MATCH($A786,會員!$A$2:$A$2000,0)),"（沒建檔）"))</f>
        <v/>
      </c>
      <c r="G786" s="10" t="str">
        <f aca="false">IF($B786="","",IF($D786="","未還","已還"))</f>
        <v/>
      </c>
    </row>
    <row r="787" customFormat="false" ht="15" hidden="false" customHeight="false" outlineLevel="0" collapsed="false">
      <c r="E787" s="9" t="str">
        <f aca="false">IF($B787="","",IFERROR(INDEX(書籍!$B$2:$B$2000,MATCH($B787,書籍!$A$2:$A$2000,0)),"（沒建檔）"))</f>
        <v/>
      </c>
      <c r="F787" s="9" t="str">
        <f aca="false">IF($A787="","",IFERROR(INDEX(會員!$B$2:$B$2000,MATCH($A787,會員!$A$2:$A$2000,0)),"（沒建檔）"))</f>
        <v/>
      </c>
      <c r="G787" s="10" t="str">
        <f aca="false">IF($B787="","",IF($D787="","未還","已還"))</f>
        <v/>
      </c>
    </row>
    <row r="788" customFormat="false" ht="15" hidden="false" customHeight="false" outlineLevel="0" collapsed="false">
      <c r="E788" s="9" t="str">
        <f aca="false">IF($B788="","",IFERROR(INDEX(書籍!$B$2:$B$2000,MATCH($B788,書籍!$A$2:$A$2000,0)),"（沒建檔）"))</f>
        <v/>
      </c>
      <c r="F788" s="9" t="str">
        <f aca="false">IF($A788="","",IFERROR(INDEX(會員!$B$2:$B$2000,MATCH($A788,會員!$A$2:$A$2000,0)),"（沒建檔）"))</f>
        <v/>
      </c>
      <c r="G788" s="10" t="str">
        <f aca="false">IF($B788="","",IF($D788="","未還","已還"))</f>
        <v/>
      </c>
    </row>
    <row r="789" customFormat="false" ht="15" hidden="false" customHeight="false" outlineLevel="0" collapsed="false">
      <c r="E789" s="9" t="str">
        <f aca="false">IF($B789="","",IFERROR(INDEX(書籍!$B$2:$B$2000,MATCH($B789,書籍!$A$2:$A$2000,0)),"（沒建檔）"))</f>
        <v/>
      </c>
      <c r="F789" s="9" t="str">
        <f aca="false">IF($A789="","",IFERROR(INDEX(會員!$B$2:$B$2000,MATCH($A789,會員!$A$2:$A$2000,0)),"（沒建檔）"))</f>
        <v/>
      </c>
      <c r="G789" s="10" t="str">
        <f aca="false">IF($B789="","",IF($D789="","未還","已還"))</f>
        <v/>
      </c>
    </row>
    <row r="790" customFormat="false" ht="15" hidden="false" customHeight="false" outlineLevel="0" collapsed="false">
      <c r="E790" s="9" t="str">
        <f aca="false">IF($B790="","",IFERROR(INDEX(書籍!$B$2:$B$2000,MATCH($B790,書籍!$A$2:$A$2000,0)),"（沒建檔）"))</f>
        <v/>
      </c>
      <c r="F790" s="9" t="str">
        <f aca="false">IF($A790="","",IFERROR(INDEX(會員!$B$2:$B$2000,MATCH($A790,會員!$A$2:$A$2000,0)),"（沒建檔）"))</f>
        <v/>
      </c>
      <c r="G790" s="10" t="str">
        <f aca="false">IF($B790="","",IF($D790="","未還","已還"))</f>
        <v/>
      </c>
    </row>
    <row r="791" customFormat="false" ht="15" hidden="false" customHeight="false" outlineLevel="0" collapsed="false">
      <c r="E791" s="9" t="str">
        <f aca="false">IF($B791="","",IFERROR(INDEX(書籍!$B$2:$B$2000,MATCH($B791,書籍!$A$2:$A$2000,0)),"（沒建檔）"))</f>
        <v/>
      </c>
      <c r="F791" s="9" t="str">
        <f aca="false">IF($A791="","",IFERROR(INDEX(會員!$B$2:$B$2000,MATCH($A791,會員!$A$2:$A$2000,0)),"（沒建檔）"))</f>
        <v/>
      </c>
      <c r="G791" s="10" t="str">
        <f aca="false">IF($B791="","",IF($D791="","未還","已還"))</f>
        <v/>
      </c>
    </row>
    <row r="792" customFormat="false" ht="15" hidden="false" customHeight="false" outlineLevel="0" collapsed="false">
      <c r="E792" s="9" t="str">
        <f aca="false">IF($B792="","",IFERROR(INDEX(書籍!$B$2:$B$2000,MATCH($B792,書籍!$A$2:$A$2000,0)),"（沒建檔）"))</f>
        <v/>
      </c>
      <c r="F792" s="9" t="str">
        <f aca="false">IF($A792="","",IFERROR(INDEX(會員!$B$2:$B$2000,MATCH($A792,會員!$A$2:$A$2000,0)),"（沒建檔）"))</f>
        <v/>
      </c>
      <c r="G792" s="10" t="str">
        <f aca="false">IF($B792="","",IF($D792="","未還","已還"))</f>
        <v/>
      </c>
    </row>
    <row r="793" customFormat="false" ht="15" hidden="false" customHeight="false" outlineLevel="0" collapsed="false">
      <c r="E793" s="9" t="str">
        <f aca="false">IF($B793="","",IFERROR(INDEX(書籍!$B$2:$B$2000,MATCH($B793,書籍!$A$2:$A$2000,0)),"（沒建檔）"))</f>
        <v/>
      </c>
      <c r="F793" s="9" t="str">
        <f aca="false">IF($A793="","",IFERROR(INDEX(會員!$B$2:$B$2000,MATCH($A793,會員!$A$2:$A$2000,0)),"（沒建檔）"))</f>
        <v/>
      </c>
      <c r="G793" s="10" t="str">
        <f aca="false">IF($B793="","",IF($D793="","未還","已還"))</f>
        <v/>
      </c>
    </row>
    <row r="794" customFormat="false" ht="15" hidden="false" customHeight="false" outlineLevel="0" collapsed="false">
      <c r="E794" s="9" t="str">
        <f aca="false">IF($B794="","",IFERROR(INDEX(書籍!$B$2:$B$2000,MATCH($B794,書籍!$A$2:$A$2000,0)),"（沒建檔）"))</f>
        <v/>
      </c>
      <c r="F794" s="9" t="str">
        <f aca="false">IF($A794="","",IFERROR(INDEX(會員!$B$2:$B$2000,MATCH($A794,會員!$A$2:$A$2000,0)),"（沒建檔）"))</f>
        <v/>
      </c>
      <c r="G794" s="10" t="str">
        <f aca="false">IF($B794="","",IF($D794="","未還","已還"))</f>
        <v/>
      </c>
    </row>
    <row r="795" customFormat="false" ht="15" hidden="false" customHeight="false" outlineLevel="0" collapsed="false">
      <c r="E795" s="9" t="str">
        <f aca="false">IF($B795="","",IFERROR(INDEX(書籍!$B$2:$B$2000,MATCH($B795,書籍!$A$2:$A$2000,0)),"（沒建檔）"))</f>
        <v/>
      </c>
      <c r="F795" s="9" t="str">
        <f aca="false">IF($A795="","",IFERROR(INDEX(會員!$B$2:$B$2000,MATCH($A795,會員!$A$2:$A$2000,0)),"（沒建檔）"))</f>
        <v/>
      </c>
      <c r="G795" s="10" t="str">
        <f aca="false">IF($B795="","",IF($D795="","未還","已還"))</f>
        <v/>
      </c>
    </row>
    <row r="796" customFormat="false" ht="15" hidden="false" customHeight="false" outlineLevel="0" collapsed="false">
      <c r="E796" s="9" t="str">
        <f aca="false">IF($B796="","",IFERROR(INDEX(書籍!$B$2:$B$2000,MATCH($B796,書籍!$A$2:$A$2000,0)),"（沒建檔）"))</f>
        <v/>
      </c>
      <c r="F796" s="9" t="str">
        <f aca="false">IF($A796="","",IFERROR(INDEX(會員!$B$2:$B$2000,MATCH($A796,會員!$A$2:$A$2000,0)),"（沒建檔）"))</f>
        <v/>
      </c>
      <c r="G796" s="10" t="str">
        <f aca="false">IF($B796="","",IF($D796="","未還","已還"))</f>
        <v/>
      </c>
    </row>
    <row r="797" customFormat="false" ht="15" hidden="false" customHeight="false" outlineLevel="0" collapsed="false">
      <c r="E797" s="9" t="str">
        <f aca="false">IF($B797="","",IFERROR(INDEX(書籍!$B$2:$B$2000,MATCH($B797,書籍!$A$2:$A$2000,0)),"（沒建檔）"))</f>
        <v/>
      </c>
      <c r="F797" s="9" t="str">
        <f aca="false">IF($A797="","",IFERROR(INDEX(會員!$B$2:$B$2000,MATCH($A797,會員!$A$2:$A$2000,0)),"（沒建檔）"))</f>
        <v/>
      </c>
      <c r="G797" s="10" t="str">
        <f aca="false">IF($B797="","",IF($D797="","未還","已還"))</f>
        <v/>
      </c>
    </row>
    <row r="798" customFormat="false" ht="15" hidden="false" customHeight="false" outlineLevel="0" collapsed="false">
      <c r="E798" s="9" t="str">
        <f aca="false">IF($B798="","",IFERROR(INDEX(書籍!$B$2:$B$2000,MATCH($B798,書籍!$A$2:$A$2000,0)),"（沒建檔）"))</f>
        <v/>
      </c>
      <c r="F798" s="9" t="str">
        <f aca="false">IF($A798="","",IFERROR(INDEX(會員!$B$2:$B$2000,MATCH($A798,會員!$A$2:$A$2000,0)),"（沒建檔）"))</f>
        <v/>
      </c>
      <c r="G798" s="10" t="str">
        <f aca="false">IF($B798="","",IF($D798="","未還","已還"))</f>
        <v/>
      </c>
    </row>
    <row r="799" customFormat="false" ht="15" hidden="false" customHeight="false" outlineLevel="0" collapsed="false">
      <c r="E799" s="9" t="str">
        <f aca="false">IF($B799="","",IFERROR(INDEX(書籍!$B$2:$B$2000,MATCH($B799,書籍!$A$2:$A$2000,0)),"（沒建檔）"))</f>
        <v/>
      </c>
      <c r="F799" s="9" t="str">
        <f aca="false">IF($A799="","",IFERROR(INDEX(會員!$B$2:$B$2000,MATCH($A799,會員!$A$2:$A$2000,0)),"（沒建檔）"))</f>
        <v/>
      </c>
      <c r="G799" s="10" t="str">
        <f aca="false">IF($B799="","",IF($D799="","未還","已還"))</f>
        <v/>
      </c>
    </row>
    <row r="800" customFormat="false" ht="15" hidden="false" customHeight="false" outlineLevel="0" collapsed="false">
      <c r="E800" s="9" t="str">
        <f aca="false">IF($B800="","",IFERROR(INDEX(書籍!$B$2:$B$2000,MATCH($B800,書籍!$A$2:$A$2000,0)),"（沒建檔）"))</f>
        <v/>
      </c>
      <c r="F800" s="9" t="str">
        <f aca="false">IF($A800="","",IFERROR(INDEX(會員!$B$2:$B$2000,MATCH($A800,會員!$A$2:$A$2000,0)),"（沒建檔）"))</f>
        <v/>
      </c>
      <c r="G800" s="10" t="str">
        <f aca="false">IF($B800="","",IF($D800="","未還","已還"))</f>
        <v/>
      </c>
    </row>
    <row r="801" customFormat="false" ht="15" hidden="false" customHeight="false" outlineLevel="0" collapsed="false">
      <c r="E801" s="9" t="str">
        <f aca="false">IF($B801="","",IFERROR(INDEX(書籍!$B$2:$B$2000,MATCH($B801,書籍!$A$2:$A$2000,0)),"（沒建檔）"))</f>
        <v/>
      </c>
      <c r="F801" s="9" t="str">
        <f aca="false">IF($A801="","",IFERROR(INDEX(會員!$B$2:$B$2000,MATCH($A801,會員!$A$2:$A$2000,0)),"（沒建檔）"))</f>
        <v/>
      </c>
      <c r="G801" s="10" t="str">
        <f aca="false">IF($B801="","",IF($D801="","未還","已還"))</f>
        <v/>
      </c>
    </row>
    <row r="802" customFormat="false" ht="15" hidden="false" customHeight="false" outlineLevel="0" collapsed="false">
      <c r="E802" s="9" t="str">
        <f aca="false">IF($B802="","",IFERROR(INDEX(書籍!$B$2:$B$2000,MATCH($B802,書籍!$A$2:$A$2000,0)),"（沒建檔）"))</f>
        <v/>
      </c>
      <c r="F802" s="9" t="str">
        <f aca="false">IF($A802="","",IFERROR(INDEX(會員!$B$2:$B$2000,MATCH($A802,會員!$A$2:$A$2000,0)),"（沒建檔）"))</f>
        <v/>
      </c>
      <c r="G802" s="10" t="str">
        <f aca="false">IF($B802="","",IF($D802="","未還","已還"))</f>
        <v/>
      </c>
    </row>
    <row r="803" customFormat="false" ht="15" hidden="false" customHeight="false" outlineLevel="0" collapsed="false">
      <c r="E803" s="9" t="str">
        <f aca="false">IF($B803="","",IFERROR(INDEX(書籍!$B$2:$B$2000,MATCH($B803,書籍!$A$2:$A$2000,0)),"（沒建檔）"))</f>
        <v/>
      </c>
      <c r="F803" s="9" t="str">
        <f aca="false">IF($A803="","",IFERROR(INDEX(會員!$B$2:$B$2000,MATCH($A803,會員!$A$2:$A$2000,0)),"（沒建檔）"))</f>
        <v/>
      </c>
      <c r="G803" s="10" t="str">
        <f aca="false">IF($B803="","",IF($D803="","未還","已還"))</f>
        <v/>
      </c>
    </row>
    <row r="804" customFormat="false" ht="15" hidden="false" customHeight="false" outlineLevel="0" collapsed="false">
      <c r="E804" s="9" t="str">
        <f aca="false">IF($B804="","",IFERROR(INDEX(書籍!$B$2:$B$2000,MATCH($B804,書籍!$A$2:$A$2000,0)),"（沒建檔）"))</f>
        <v/>
      </c>
      <c r="F804" s="9" t="str">
        <f aca="false">IF($A804="","",IFERROR(INDEX(會員!$B$2:$B$2000,MATCH($A804,會員!$A$2:$A$2000,0)),"（沒建檔）"))</f>
        <v/>
      </c>
      <c r="G804" s="10" t="str">
        <f aca="false">IF($B804="","",IF($D804="","未還","已還"))</f>
        <v/>
      </c>
    </row>
    <row r="805" customFormat="false" ht="15" hidden="false" customHeight="false" outlineLevel="0" collapsed="false">
      <c r="E805" s="9" t="str">
        <f aca="false">IF($B805="","",IFERROR(INDEX(書籍!$B$2:$B$2000,MATCH($B805,書籍!$A$2:$A$2000,0)),"（沒建檔）"))</f>
        <v/>
      </c>
      <c r="F805" s="9" t="str">
        <f aca="false">IF($A805="","",IFERROR(INDEX(會員!$B$2:$B$2000,MATCH($A805,會員!$A$2:$A$2000,0)),"（沒建檔）"))</f>
        <v/>
      </c>
      <c r="G805" s="10" t="str">
        <f aca="false">IF($B805="","",IF($D805="","未還","已還"))</f>
        <v/>
      </c>
    </row>
    <row r="806" customFormat="false" ht="15" hidden="false" customHeight="false" outlineLevel="0" collapsed="false">
      <c r="E806" s="9" t="str">
        <f aca="false">IF($B806="","",IFERROR(INDEX(書籍!$B$2:$B$2000,MATCH($B806,書籍!$A$2:$A$2000,0)),"（沒建檔）"))</f>
        <v/>
      </c>
      <c r="F806" s="9" t="str">
        <f aca="false">IF($A806="","",IFERROR(INDEX(會員!$B$2:$B$2000,MATCH($A806,會員!$A$2:$A$2000,0)),"（沒建檔）"))</f>
        <v/>
      </c>
      <c r="G806" s="10" t="str">
        <f aca="false">IF($B806="","",IF($D806="","未還","已還"))</f>
        <v/>
      </c>
    </row>
    <row r="807" customFormat="false" ht="15" hidden="false" customHeight="false" outlineLevel="0" collapsed="false">
      <c r="E807" s="9" t="str">
        <f aca="false">IF($B807="","",IFERROR(INDEX(書籍!$B$2:$B$2000,MATCH($B807,書籍!$A$2:$A$2000,0)),"（沒建檔）"))</f>
        <v/>
      </c>
      <c r="F807" s="9" t="str">
        <f aca="false">IF($A807="","",IFERROR(INDEX(會員!$B$2:$B$2000,MATCH($A807,會員!$A$2:$A$2000,0)),"（沒建檔）"))</f>
        <v/>
      </c>
      <c r="G807" s="10" t="str">
        <f aca="false">IF($B807="","",IF($D807="","未還","已還"))</f>
        <v/>
      </c>
    </row>
    <row r="808" customFormat="false" ht="15" hidden="false" customHeight="false" outlineLevel="0" collapsed="false">
      <c r="E808" s="9" t="str">
        <f aca="false">IF($B808="","",IFERROR(INDEX(書籍!$B$2:$B$2000,MATCH($B808,書籍!$A$2:$A$2000,0)),"（沒建檔）"))</f>
        <v/>
      </c>
      <c r="F808" s="9" t="str">
        <f aca="false">IF($A808="","",IFERROR(INDEX(會員!$B$2:$B$2000,MATCH($A808,會員!$A$2:$A$2000,0)),"（沒建檔）"))</f>
        <v/>
      </c>
      <c r="G808" s="10" t="str">
        <f aca="false">IF($B808="","",IF($D808="","未還","已還"))</f>
        <v/>
      </c>
    </row>
    <row r="809" customFormat="false" ht="15" hidden="false" customHeight="false" outlineLevel="0" collapsed="false">
      <c r="E809" s="9" t="str">
        <f aca="false">IF($B809="","",IFERROR(INDEX(書籍!$B$2:$B$2000,MATCH($B809,書籍!$A$2:$A$2000,0)),"（沒建檔）"))</f>
        <v/>
      </c>
      <c r="F809" s="9" t="str">
        <f aca="false">IF($A809="","",IFERROR(INDEX(會員!$B$2:$B$2000,MATCH($A809,會員!$A$2:$A$2000,0)),"（沒建檔）"))</f>
        <v/>
      </c>
      <c r="G809" s="10" t="str">
        <f aca="false">IF($B809="","",IF($D809="","未還","已還"))</f>
        <v/>
      </c>
    </row>
    <row r="810" customFormat="false" ht="15" hidden="false" customHeight="false" outlineLevel="0" collapsed="false">
      <c r="E810" s="9" t="str">
        <f aca="false">IF($B810="","",IFERROR(INDEX(書籍!$B$2:$B$2000,MATCH($B810,書籍!$A$2:$A$2000,0)),"（沒建檔）"))</f>
        <v/>
      </c>
      <c r="F810" s="9" t="str">
        <f aca="false">IF($A810="","",IFERROR(INDEX(會員!$B$2:$B$2000,MATCH($A810,會員!$A$2:$A$2000,0)),"（沒建檔）"))</f>
        <v/>
      </c>
      <c r="G810" s="10" t="str">
        <f aca="false">IF($B810="","",IF($D810="","未還","已還"))</f>
        <v/>
      </c>
    </row>
    <row r="811" customFormat="false" ht="15" hidden="false" customHeight="false" outlineLevel="0" collapsed="false">
      <c r="E811" s="9" t="str">
        <f aca="false">IF($B811="","",IFERROR(INDEX(書籍!$B$2:$B$2000,MATCH($B811,書籍!$A$2:$A$2000,0)),"（沒建檔）"))</f>
        <v/>
      </c>
      <c r="F811" s="9" t="str">
        <f aca="false">IF($A811="","",IFERROR(INDEX(會員!$B$2:$B$2000,MATCH($A811,會員!$A$2:$A$2000,0)),"（沒建檔）"))</f>
        <v/>
      </c>
      <c r="G811" s="10" t="str">
        <f aca="false">IF($B811="","",IF($D811="","未還","已還"))</f>
        <v/>
      </c>
    </row>
    <row r="812" customFormat="false" ht="15" hidden="false" customHeight="false" outlineLevel="0" collapsed="false">
      <c r="E812" s="9" t="str">
        <f aca="false">IF($B812="","",IFERROR(INDEX(書籍!$B$2:$B$2000,MATCH($B812,書籍!$A$2:$A$2000,0)),"（沒建檔）"))</f>
        <v/>
      </c>
      <c r="F812" s="9" t="str">
        <f aca="false">IF($A812="","",IFERROR(INDEX(會員!$B$2:$B$2000,MATCH($A812,會員!$A$2:$A$2000,0)),"（沒建檔）"))</f>
        <v/>
      </c>
      <c r="G812" s="10" t="str">
        <f aca="false">IF($B812="","",IF($D812="","未還","已還"))</f>
        <v/>
      </c>
    </row>
    <row r="813" customFormat="false" ht="15" hidden="false" customHeight="false" outlineLevel="0" collapsed="false">
      <c r="E813" s="9" t="str">
        <f aca="false">IF($B813="","",IFERROR(INDEX(書籍!$B$2:$B$2000,MATCH($B813,書籍!$A$2:$A$2000,0)),"（沒建檔）"))</f>
        <v/>
      </c>
      <c r="F813" s="9" t="str">
        <f aca="false">IF($A813="","",IFERROR(INDEX(會員!$B$2:$B$2000,MATCH($A813,會員!$A$2:$A$2000,0)),"（沒建檔）"))</f>
        <v/>
      </c>
      <c r="G813" s="10" t="str">
        <f aca="false">IF($B813="","",IF($D813="","未還","已還"))</f>
        <v/>
      </c>
    </row>
    <row r="814" customFormat="false" ht="15" hidden="false" customHeight="false" outlineLevel="0" collapsed="false">
      <c r="E814" s="9" t="str">
        <f aca="false">IF($B814="","",IFERROR(INDEX(書籍!$B$2:$B$2000,MATCH($B814,書籍!$A$2:$A$2000,0)),"（沒建檔）"))</f>
        <v/>
      </c>
      <c r="F814" s="9" t="str">
        <f aca="false">IF($A814="","",IFERROR(INDEX(會員!$B$2:$B$2000,MATCH($A814,會員!$A$2:$A$2000,0)),"（沒建檔）"))</f>
        <v/>
      </c>
      <c r="G814" s="10" t="str">
        <f aca="false">IF($B814="","",IF($D814="","未還","已還"))</f>
        <v/>
      </c>
    </row>
    <row r="815" customFormat="false" ht="15" hidden="false" customHeight="false" outlineLevel="0" collapsed="false">
      <c r="E815" s="9" t="str">
        <f aca="false">IF($B815="","",IFERROR(INDEX(書籍!$B$2:$B$2000,MATCH($B815,書籍!$A$2:$A$2000,0)),"（沒建檔）"))</f>
        <v/>
      </c>
      <c r="F815" s="9" t="str">
        <f aca="false">IF($A815="","",IFERROR(INDEX(會員!$B$2:$B$2000,MATCH($A815,會員!$A$2:$A$2000,0)),"（沒建檔）"))</f>
        <v/>
      </c>
      <c r="G815" s="10" t="str">
        <f aca="false">IF($B815="","",IF($D815="","未還","已還"))</f>
        <v/>
      </c>
    </row>
    <row r="816" customFormat="false" ht="15" hidden="false" customHeight="false" outlineLevel="0" collapsed="false">
      <c r="E816" s="9" t="str">
        <f aca="false">IF($B816="","",IFERROR(INDEX(書籍!$B$2:$B$2000,MATCH($B816,書籍!$A$2:$A$2000,0)),"（沒建檔）"))</f>
        <v/>
      </c>
      <c r="F816" s="9" t="str">
        <f aca="false">IF($A816="","",IFERROR(INDEX(會員!$B$2:$B$2000,MATCH($A816,會員!$A$2:$A$2000,0)),"（沒建檔）"))</f>
        <v/>
      </c>
      <c r="G816" s="10" t="str">
        <f aca="false">IF($B816="","",IF($D816="","未還","已還"))</f>
        <v/>
      </c>
    </row>
    <row r="817" customFormat="false" ht="15" hidden="false" customHeight="false" outlineLevel="0" collapsed="false">
      <c r="E817" s="9" t="str">
        <f aca="false">IF($B817="","",IFERROR(INDEX(書籍!$B$2:$B$2000,MATCH($B817,書籍!$A$2:$A$2000,0)),"（沒建檔）"))</f>
        <v/>
      </c>
      <c r="F817" s="9" t="str">
        <f aca="false">IF($A817="","",IFERROR(INDEX(會員!$B$2:$B$2000,MATCH($A817,會員!$A$2:$A$2000,0)),"（沒建檔）"))</f>
        <v/>
      </c>
      <c r="G817" s="10" t="str">
        <f aca="false">IF($B817="","",IF($D817="","未還","已還"))</f>
        <v/>
      </c>
    </row>
    <row r="818" customFormat="false" ht="15" hidden="false" customHeight="false" outlineLevel="0" collapsed="false">
      <c r="E818" s="9" t="str">
        <f aca="false">IF($B818="","",IFERROR(INDEX(書籍!$B$2:$B$2000,MATCH($B818,書籍!$A$2:$A$2000,0)),"（沒建檔）"))</f>
        <v/>
      </c>
      <c r="F818" s="9" t="str">
        <f aca="false">IF($A818="","",IFERROR(INDEX(會員!$B$2:$B$2000,MATCH($A818,會員!$A$2:$A$2000,0)),"（沒建檔）"))</f>
        <v/>
      </c>
      <c r="G818" s="10" t="str">
        <f aca="false">IF($B818="","",IF($D818="","未還","已還"))</f>
        <v/>
      </c>
    </row>
    <row r="819" customFormat="false" ht="15" hidden="false" customHeight="false" outlineLevel="0" collapsed="false">
      <c r="E819" s="9" t="str">
        <f aca="false">IF($B819="","",IFERROR(INDEX(書籍!$B$2:$B$2000,MATCH($B819,書籍!$A$2:$A$2000,0)),"（沒建檔）"))</f>
        <v/>
      </c>
      <c r="F819" s="9" t="str">
        <f aca="false">IF($A819="","",IFERROR(INDEX(會員!$B$2:$B$2000,MATCH($A819,會員!$A$2:$A$2000,0)),"（沒建檔）"))</f>
        <v/>
      </c>
      <c r="G819" s="10" t="str">
        <f aca="false">IF($B819="","",IF($D819="","未還","已還"))</f>
        <v/>
      </c>
    </row>
    <row r="820" customFormat="false" ht="15" hidden="false" customHeight="false" outlineLevel="0" collapsed="false">
      <c r="E820" s="9" t="str">
        <f aca="false">IF($B820="","",IFERROR(INDEX(書籍!$B$2:$B$2000,MATCH($B820,書籍!$A$2:$A$2000,0)),"（沒建檔）"))</f>
        <v/>
      </c>
      <c r="F820" s="9" t="str">
        <f aca="false">IF($A820="","",IFERROR(INDEX(會員!$B$2:$B$2000,MATCH($A820,會員!$A$2:$A$2000,0)),"（沒建檔）"))</f>
        <v/>
      </c>
      <c r="G820" s="10" t="str">
        <f aca="false">IF($B820="","",IF($D820="","未還","已還"))</f>
        <v/>
      </c>
    </row>
    <row r="821" customFormat="false" ht="15" hidden="false" customHeight="false" outlineLevel="0" collapsed="false">
      <c r="E821" s="9" t="str">
        <f aca="false">IF($B821="","",IFERROR(INDEX(書籍!$B$2:$B$2000,MATCH($B821,書籍!$A$2:$A$2000,0)),"（沒建檔）"))</f>
        <v/>
      </c>
      <c r="F821" s="9" t="str">
        <f aca="false">IF($A821="","",IFERROR(INDEX(會員!$B$2:$B$2000,MATCH($A821,會員!$A$2:$A$2000,0)),"（沒建檔）"))</f>
        <v/>
      </c>
      <c r="G821" s="10" t="str">
        <f aca="false">IF($B821="","",IF($D821="","未還","已還"))</f>
        <v/>
      </c>
    </row>
    <row r="822" customFormat="false" ht="15" hidden="false" customHeight="false" outlineLevel="0" collapsed="false">
      <c r="E822" s="9" t="str">
        <f aca="false">IF($B822="","",IFERROR(INDEX(書籍!$B$2:$B$2000,MATCH($B822,書籍!$A$2:$A$2000,0)),"（沒建檔）"))</f>
        <v/>
      </c>
      <c r="F822" s="9" t="str">
        <f aca="false">IF($A822="","",IFERROR(INDEX(會員!$B$2:$B$2000,MATCH($A822,會員!$A$2:$A$2000,0)),"（沒建檔）"))</f>
        <v/>
      </c>
      <c r="G822" s="10" t="str">
        <f aca="false">IF($B822="","",IF($D822="","未還","已還"))</f>
        <v/>
      </c>
    </row>
    <row r="823" customFormat="false" ht="15" hidden="false" customHeight="false" outlineLevel="0" collapsed="false">
      <c r="E823" s="9" t="str">
        <f aca="false">IF($B823="","",IFERROR(INDEX(書籍!$B$2:$B$2000,MATCH($B823,書籍!$A$2:$A$2000,0)),"（沒建檔）"))</f>
        <v/>
      </c>
      <c r="F823" s="9" t="str">
        <f aca="false">IF($A823="","",IFERROR(INDEX(會員!$B$2:$B$2000,MATCH($A823,會員!$A$2:$A$2000,0)),"（沒建檔）"))</f>
        <v/>
      </c>
      <c r="G823" s="10" t="str">
        <f aca="false">IF($B823="","",IF($D823="","未還","已還"))</f>
        <v/>
      </c>
    </row>
    <row r="824" customFormat="false" ht="15" hidden="false" customHeight="false" outlineLevel="0" collapsed="false">
      <c r="E824" s="9" t="str">
        <f aca="false">IF($B824="","",IFERROR(INDEX(書籍!$B$2:$B$2000,MATCH($B824,書籍!$A$2:$A$2000,0)),"（沒建檔）"))</f>
        <v/>
      </c>
      <c r="F824" s="9" t="str">
        <f aca="false">IF($A824="","",IFERROR(INDEX(會員!$B$2:$B$2000,MATCH($A824,會員!$A$2:$A$2000,0)),"（沒建檔）"))</f>
        <v/>
      </c>
      <c r="G824" s="10" t="str">
        <f aca="false">IF($B824="","",IF($D824="","未還","已還"))</f>
        <v/>
      </c>
    </row>
    <row r="825" customFormat="false" ht="15" hidden="false" customHeight="false" outlineLevel="0" collapsed="false">
      <c r="E825" s="9" t="str">
        <f aca="false">IF($B825="","",IFERROR(INDEX(書籍!$B$2:$B$2000,MATCH($B825,書籍!$A$2:$A$2000,0)),"（沒建檔）"))</f>
        <v/>
      </c>
      <c r="F825" s="9" t="str">
        <f aca="false">IF($A825="","",IFERROR(INDEX(會員!$B$2:$B$2000,MATCH($A825,會員!$A$2:$A$2000,0)),"（沒建檔）"))</f>
        <v/>
      </c>
      <c r="G825" s="10" t="str">
        <f aca="false">IF($B825="","",IF($D825="","未還","已還"))</f>
        <v/>
      </c>
    </row>
    <row r="826" customFormat="false" ht="15" hidden="false" customHeight="false" outlineLevel="0" collapsed="false">
      <c r="E826" s="9" t="str">
        <f aca="false">IF($B826="","",IFERROR(INDEX(書籍!$B$2:$B$2000,MATCH($B826,書籍!$A$2:$A$2000,0)),"（沒建檔）"))</f>
        <v/>
      </c>
      <c r="F826" s="9" t="str">
        <f aca="false">IF($A826="","",IFERROR(INDEX(會員!$B$2:$B$2000,MATCH($A826,會員!$A$2:$A$2000,0)),"（沒建檔）"))</f>
        <v/>
      </c>
      <c r="G826" s="10" t="str">
        <f aca="false">IF($B826="","",IF($D826="","未還","已還"))</f>
        <v/>
      </c>
    </row>
    <row r="827" customFormat="false" ht="15" hidden="false" customHeight="false" outlineLevel="0" collapsed="false">
      <c r="E827" s="9" t="str">
        <f aca="false">IF($B827="","",IFERROR(INDEX(書籍!$B$2:$B$2000,MATCH($B827,書籍!$A$2:$A$2000,0)),"（沒建檔）"))</f>
        <v/>
      </c>
      <c r="F827" s="9" t="str">
        <f aca="false">IF($A827="","",IFERROR(INDEX(會員!$B$2:$B$2000,MATCH($A827,會員!$A$2:$A$2000,0)),"（沒建檔）"))</f>
        <v/>
      </c>
      <c r="G827" s="10" t="str">
        <f aca="false">IF($B827="","",IF($D827="","未還","已還"))</f>
        <v/>
      </c>
    </row>
    <row r="828" customFormat="false" ht="15" hidden="false" customHeight="false" outlineLevel="0" collapsed="false">
      <c r="E828" s="9" t="str">
        <f aca="false">IF($B828="","",IFERROR(INDEX(書籍!$B$2:$B$2000,MATCH($B828,書籍!$A$2:$A$2000,0)),"（沒建檔）"))</f>
        <v/>
      </c>
      <c r="F828" s="9" t="str">
        <f aca="false">IF($A828="","",IFERROR(INDEX(會員!$B$2:$B$2000,MATCH($A828,會員!$A$2:$A$2000,0)),"（沒建檔）"))</f>
        <v/>
      </c>
      <c r="G828" s="10" t="str">
        <f aca="false">IF($B828="","",IF($D828="","未還","已還"))</f>
        <v/>
      </c>
    </row>
    <row r="829" customFormat="false" ht="15" hidden="false" customHeight="false" outlineLevel="0" collapsed="false">
      <c r="E829" s="9" t="str">
        <f aca="false">IF($B829="","",IFERROR(INDEX(書籍!$B$2:$B$2000,MATCH($B829,書籍!$A$2:$A$2000,0)),"（沒建檔）"))</f>
        <v/>
      </c>
      <c r="F829" s="9" t="str">
        <f aca="false">IF($A829="","",IFERROR(INDEX(會員!$B$2:$B$2000,MATCH($A829,會員!$A$2:$A$2000,0)),"（沒建檔）"))</f>
        <v/>
      </c>
      <c r="G829" s="10" t="str">
        <f aca="false">IF($B829="","",IF($D829="","未還","已還"))</f>
        <v/>
      </c>
    </row>
    <row r="830" customFormat="false" ht="15" hidden="false" customHeight="false" outlineLevel="0" collapsed="false">
      <c r="E830" s="9" t="str">
        <f aca="false">IF($B830="","",IFERROR(INDEX(書籍!$B$2:$B$2000,MATCH($B830,書籍!$A$2:$A$2000,0)),"（沒建檔）"))</f>
        <v/>
      </c>
      <c r="F830" s="9" t="str">
        <f aca="false">IF($A830="","",IFERROR(INDEX(會員!$B$2:$B$2000,MATCH($A830,會員!$A$2:$A$2000,0)),"（沒建檔）"))</f>
        <v/>
      </c>
      <c r="G830" s="10" t="str">
        <f aca="false">IF($B830="","",IF($D830="","未還","已還"))</f>
        <v/>
      </c>
    </row>
    <row r="831" customFormat="false" ht="15" hidden="false" customHeight="false" outlineLevel="0" collapsed="false">
      <c r="E831" s="9" t="str">
        <f aca="false">IF($B831="","",IFERROR(INDEX(書籍!$B$2:$B$2000,MATCH($B831,書籍!$A$2:$A$2000,0)),"（沒建檔）"))</f>
        <v/>
      </c>
      <c r="F831" s="9" t="str">
        <f aca="false">IF($A831="","",IFERROR(INDEX(會員!$B$2:$B$2000,MATCH($A831,會員!$A$2:$A$2000,0)),"（沒建檔）"))</f>
        <v/>
      </c>
      <c r="G831" s="10" t="str">
        <f aca="false">IF($B831="","",IF($D831="","未還","已還"))</f>
        <v/>
      </c>
    </row>
    <row r="832" customFormat="false" ht="15" hidden="false" customHeight="false" outlineLevel="0" collapsed="false">
      <c r="E832" s="9" t="str">
        <f aca="false">IF($B832="","",IFERROR(INDEX(書籍!$B$2:$B$2000,MATCH($B832,書籍!$A$2:$A$2000,0)),"（沒建檔）"))</f>
        <v/>
      </c>
      <c r="F832" s="9" t="str">
        <f aca="false">IF($A832="","",IFERROR(INDEX(會員!$B$2:$B$2000,MATCH($A832,會員!$A$2:$A$2000,0)),"（沒建檔）"))</f>
        <v/>
      </c>
      <c r="G832" s="10" t="str">
        <f aca="false">IF($B832="","",IF($D832="","未還","已還"))</f>
        <v/>
      </c>
    </row>
    <row r="833" customFormat="false" ht="15" hidden="false" customHeight="false" outlineLevel="0" collapsed="false">
      <c r="E833" s="9" t="str">
        <f aca="false">IF($B833="","",IFERROR(INDEX(書籍!$B$2:$B$2000,MATCH($B833,書籍!$A$2:$A$2000,0)),"（沒建檔）"))</f>
        <v/>
      </c>
      <c r="F833" s="9" t="str">
        <f aca="false">IF($A833="","",IFERROR(INDEX(會員!$B$2:$B$2000,MATCH($A833,會員!$A$2:$A$2000,0)),"（沒建檔）"))</f>
        <v/>
      </c>
      <c r="G833" s="10" t="str">
        <f aca="false">IF($B833="","",IF($D833="","未還","已還"))</f>
        <v/>
      </c>
    </row>
    <row r="834" customFormat="false" ht="15" hidden="false" customHeight="false" outlineLevel="0" collapsed="false">
      <c r="E834" s="9" t="str">
        <f aca="false">IF($B834="","",IFERROR(INDEX(書籍!$B$2:$B$2000,MATCH($B834,書籍!$A$2:$A$2000,0)),"（沒建檔）"))</f>
        <v/>
      </c>
      <c r="F834" s="9" t="str">
        <f aca="false">IF($A834="","",IFERROR(INDEX(會員!$B$2:$B$2000,MATCH($A834,會員!$A$2:$A$2000,0)),"（沒建檔）"))</f>
        <v/>
      </c>
      <c r="G834" s="10" t="str">
        <f aca="false">IF($B834="","",IF($D834="","未還","已還"))</f>
        <v/>
      </c>
    </row>
    <row r="835" customFormat="false" ht="15" hidden="false" customHeight="false" outlineLevel="0" collapsed="false">
      <c r="E835" s="9" t="str">
        <f aca="false">IF($B835="","",IFERROR(INDEX(書籍!$B$2:$B$2000,MATCH($B835,書籍!$A$2:$A$2000,0)),"（沒建檔）"))</f>
        <v/>
      </c>
      <c r="F835" s="9" t="str">
        <f aca="false">IF($A835="","",IFERROR(INDEX(會員!$B$2:$B$2000,MATCH($A835,會員!$A$2:$A$2000,0)),"（沒建檔）"))</f>
        <v/>
      </c>
      <c r="G835" s="10" t="str">
        <f aca="false">IF($B835="","",IF($D835="","未還","已還"))</f>
        <v/>
      </c>
    </row>
    <row r="836" customFormat="false" ht="15" hidden="false" customHeight="false" outlineLevel="0" collapsed="false">
      <c r="E836" s="9" t="str">
        <f aca="false">IF($B836="","",IFERROR(INDEX(書籍!$B$2:$B$2000,MATCH($B836,書籍!$A$2:$A$2000,0)),"（沒建檔）"))</f>
        <v/>
      </c>
      <c r="F836" s="9" t="str">
        <f aca="false">IF($A836="","",IFERROR(INDEX(會員!$B$2:$B$2000,MATCH($A836,會員!$A$2:$A$2000,0)),"（沒建檔）"))</f>
        <v/>
      </c>
      <c r="G836" s="10" t="str">
        <f aca="false">IF($B836="","",IF($D836="","未還","已還"))</f>
        <v/>
      </c>
    </row>
    <row r="837" customFormat="false" ht="15" hidden="false" customHeight="false" outlineLevel="0" collapsed="false">
      <c r="E837" s="9" t="str">
        <f aca="false">IF($B837="","",IFERROR(INDEX(書籍!$B$2:$B$2000,MATCH($B837,書籍!$A$2:$A$2000,0)),"（沒建檔）"))</f>
        <v/>
      </c>
      <c r="F837" s="9" t="str">
        <f aca="false">IF($A837="","",IFERROR(INDEX(會員!$B$2:$B$2000,MATCH($A837,會員!$A$2:$A$2000,0)),"（沒建檔）"))</f>
        <v/>
      </c>
      <c r="G837" s="10" t="str">
        <f aca="false">IF($B837="","",IF($D837="","未還","已還"))</f>
        <v/>
      </c>
    </row>
    <row r="838" customFormat="false" ht="15" hidden="false" customHeight="false" outlineLevel="0" collapsed="false">
      <c r="E838" s="9" t="str">
        <f aca="false">IF($B838="","",IFERROR(INDEX(書籍!$B$2:$B$2000,MATCH($B838,書籍!$A$2:$A$2000,0)),"（沒建檔）"))</f>
        <v/>
      </c>
      <c r="F838" s="9" t="str">
        <f aca="false">IF($A838="","",IFERROR(INDEX(會員!$B$2:$B$2000,MATCH($A838,會員!$A$2:$A$2000,0)),"（沒建檔）"))</f>
        <v/>
      </c>
      <c r="G838" s="10" t="str">
        <f aca="false">IF($B838="","",IF($D838="","未還","已還"))</f>
        <v/>
      </c>
    </row>
    <row r="839" customFormat="false" ht="15" hidden="false" customHeight="false" outlineLevel="0" collapsed="false">
      <c r="E839" s="9" t="str">
        <f aca="false">IF($B839="","",IFERROR(INDEX(書籍!$B$2:$B$2000,MATCH($B839,書籍!$A$2:$A$2000,0)),"（沒建檔）"))</f>
        <v/>
      </c>
      <c r="F839" s="9" t="str">
        <f aca="false">IF($A839="","",IFERROR(INDEX(會員!$B$2:$B$2000,MATCH($A839,會員!$A$2:$A$2000,0)),"（沒建檔）"))</f>
        <v/>
      </c>
      <c r="G839" s="10" t="str">
        <f aca="false">IF($B839="","",IF($D839="","未還","已還"))</f>
        <v/>
      </c>
    </row>
    <row r="840" customFormat="false" ht="15" hidden="false" customHeight="false" outlineLevel="0" collapsed="false">
      <c r="E840" s="9" t="str">
        <f aca="false">IF($B840="","",IFERROR(INDEX(書籍!$B$2:$B$2000,MATCH($B840,書籍!$A$2:$A$2000,0)),"（沒建檔）"))</f>
        <v/>
      </c>
      <c r="F840" s="9" t="str">
        <f aca="false">IF($A840="","",IFERROR(INDEX(會員!$B$2:$B$2000,MATCH($A840,會員!$A$2:$A$2000,0)),"（沒建檔）"))</f>
        <v/>
      </c>
      <c r="G840" s="10" t="str">
        <f aca="false">IF($B840="","",IF($D840="","未還","已還"))</f>
        <v/>
      </c>
    </row>
    <row r="841" customFormat="false" ht="15" hidden="false" customHeight="false" outlineLevel="0" collapsed="false">
      <c r="E841" s="9" t="str">
        <f aca="false">IF($B841="","",IFERROR(INDEX(書籍!$B$2:$B$2000,MATCH($B841,書籍!$A$2:$A$2000,0)),"（沒建檔）"))</f>
        <v/>
      </c>
      <c r="F841" s="9" t="str">
        <f aca="false">IF($A841="","",IFERROR(INDEX(會員!$B$2:$B$2000,MATCH($A841,會員!$A$2:$A$2000,0)),"（沒建檔）"))</f>
        <v/>
      </c>
      <c r="G841" s="10" t="str">
        <f aca="false">IF($B841="","",IF($D841="","未還","已還"))</f>
        <v/>
      </c>
    </row>
    <row r="842" customFormat="false" ht="15" hidden="false" customHeight="false" outlineLevel="0" collapsed="false">
      <c r="E842" s="9" t="str">
        <f aca="false">IF($B842="","",IFERROR(INDEX(書籍!$B$2:$B$2000,MATCH($B842,書籍!$A$2:$A$2000,0)),"（沒建檔）"))</f>
        <v/>
      </c>
      <c r="F842" s="9" t="str">
        <f aca="false">IF($A842="","",IFERROR(INDEX(會員!$B$2:$B$2000,MATCH($A842,會員!$A$2:$A$2000,0)),"（沒建檔）"))</f>
        <v/>
      </c>
      <c r="G842" s="10" t="str">
        <f aca="false">IF($B842="","",IF($D842="","未還","已還"))</f>
        <v/>
      </c>
    </row>
    <row r="843" customFormat="false" ht="15" hidden="false" customHeight="false" outlineLevel="0" collapsed="false">
      <c r="E843" s="9" t="str">
        <f aca="false">IF($B843="","",IFERROR(INDEX(書籍!$B$2:$B$2000,MATCH($B843,書籍!$A$2:$A$2000,0)),"（沒建檔）"))</f>
        <v/>
      </c>
      <c r="F843" s="9" t="str">
        <f aca="false">IF($A843="","",IFERROR(INDEX(會員!$B$2:$B$2000,MATCH($A843,會員!$A$2:$A$2000,0)),"（沒建檔）"))</f>
        <v/>
      </c>
      <c r="G843" s="10" t="str">
        <f aca="false">IF($B843="","",IF($D843="","未還","已還"))</f>
        <v/>
      </c>
    </row>
    <row r="844" customFormat="false" ht="15" hidden="false" customHeight="false" outlineLevel="0" collapsed="false">
      <c r="E844" s="9" t="str">
        <f aca="false">IF($B844="","",IFERROR(INDEX(書籍!$B$2:$B$2000,MATCH($B844,書籍!$A$2:$A$2000,0)),"（沒建檔）"))</f>
        <v/>
      </c>
      <c r="F844" s="9" t="str">
        <f aca="false">IF($A844="","",IFERROR(INDEX(會員!$B$2:$B$2000,MATCH($A844,會員!$A$2:$A$2000,0)),"（沒建檔）"))</f>
        <v/>
      </c>
      <c r="G844" s="10" t="str">
        <f aca="false">IF($B844="","",IF($D844="","未還","已還"))</f>
        <v/>
      </c>
    </row>
    <row r="845" customFormat="false" ht="15" hidden="false" customHeight="false" outlineLevel="0" collapsed="false">
      <c r="E845" s="9" t="str">
        <f aca="false">IF($B845="","",IFERROR(INDEX(書籍!$B$2:$B$2000,MATCH($B845,書籍!$A$2:$A$2000,0)),"（沒建檔）"))</f>
        <v/>
      </c>
      <c r="F845" s="9" t="str">
        <f aca="false">IF($A845="","",IFERROR(INDEX(會員!$B$2:$B$2000,MATCH($A845,會員!$A$2:$A$2000,0)),"（沒建檔）"))</f>
        <v/>
      </c>
      <c r="G845" s="10" t="str">
        <f aca="false">IF($B845="","",IF($D845="","未還","已還"))</f>
        <v/>
      </c>
    </row>
    <row r="846" customFormat="false" ht="15" hidden="false" customHeight="false" outlineLevel="0" collapsed="false">
      <c r="E846" s="9" t="str">
        <f aca="false">IF($B846="","",IFERROR(INDEX(書籍!$B$2:$B$2000,MATCH($B846,書籍!$A$2:$A$2000,0)),"（沒建檔）"))</f>
        <v/>
      </c>
      <c r="F846" s="9" t="str">
        <f aca="false">IF($A846="","",IFERROR(INDEX(會員!$B$2:$B$2000,MATCH($A846,會員!$A$2:$A$2000,0)),"（沒建檔）"))</f>
        <v/>
      </c>
      <c r="G846" s="10" t="str">
        <f aca="false">IF($B846="","",IF($D846="","未還","已還"))</f>
        <v/>
      </c>
    </row>
    <row r="847" customFormat="false" ht="15" hidden="false" customHeight="false" outlineLevel="0" collapsed="false">
      <c r="E847" s="9" t="str">
        <f aca="false">IF($B847="","",IFERROR(INDEX(書籍!$B$2:$B$2000,MATCH($B847,書籍!$A$2:$A$2000,0)),"（沒建檔）"))</f>
        <v/>
      </c>
      <c r="F847" s="9" t="str">
        <f aca="false">IF($A847="","",IFERROR(INDEX(會員!$B$2:$B$2000,MATCH($A847,會員!$A$2:$A$2000,0)),"（沒建檔）"))</f>
        <v/>
      </c>
      <c r="G847" s="10" t="str">
        <f aca="false">IF($B847="","",IF($D847="","未還","已還"))</f>
        <v/>
      </c>
    </row>
    <row r="848" customFormat="false" ht="15" hidden="false" customHeight="false" outlineLevel="0" collapsed="false">
      <c r="E848" s="9" t="str">
        <f aca="false">IF($B848="","",IFERROR(INDEX(書籍!$B$2:$B$2000,MATCH($B848,書籍!$A$2:$A$2000,0)),"（沒建檔）"))</f>
        <v/>
      </c>
      <c r="F848" s="9" t="str">
        <f aca="false">IF($A848="","",IFERROR(INDEX(會員!$B$2:$B$2000,MATCH($A848,會員!$A$2:$A$2000,0)),"（沒建檔）"))</f>
        <v/>
      </c>
      <c r="G848" s="10" t="str">
        <f aca="false">IF($B848="","",IF($D848="","未還","已還"))</f>
        <v/>
      </c>
    </row>
    <row r="849" customFormat="false" ht="15" hidden="false" customHeight="false" outlineLevel="0" collapsed="false">
      <c r="E849" s="9" t="str">
        <f aca="false">IF($B849="","",IFERROR(INDEX(書籍!$B$2:$B$2000,MATCH($B849,書籍!$A$2:$A$2000,0)),"（沒建檔）"))</f>
        <v/>
      </c>
      <c r="F849" s="9" t="str">
        <f aca="false">IF($A849="","",IFERROR(INDEX(會員!$B$2:$B$2000,MATCH($A849,會員!$A$2:$A$2000,0)),"（沒建檔）"))</f>
        <v/>
      </c>
      <c r="G849" s="10" t="str">
        <f aca="false">IF($B849="","",IF($D849="","未還","已還"))</f>
        <v/>
      </c>
    </row>
    <row r="850" customFormat="false" ht="15" hidden="false" customHeight="false" outlineLevel="0" collapsed="false">
      <c r="E850" s="9" t="str">
        <f aca="false">IF($B850="","",IFERROR(INDEX(書籍!$B$2:$B$2000,MATCH($B850,書籍!$A$2:$A$2000,0)),"（沒建檔）"))</f>
        <v/>
      </c>
      <c r="F850" s="9" t="str">
        <f aca="false">IF($A850="","",IFERROR(INDEX(會員!$B$2:$B$2000,MATCH($A850,會員!$A$2:$A$2000,0)),"（沒建檔）"))</f>
        <v/>
      </c>
      <c r="G850" s="10" t="str">
        <f aca="false">IF($B850="","",IF($D850="","未還","已還"))</f>
        <v/>
      </c>
    </row>
    <row r="851" customFormat="false" ht="15" hidden="false" customHeight="false" outlineLevel="0" collapsed="false">
      <c r="E851" s="9" t="str">
        <f aca="false">IF($B851="","",IFERROR(INDEX(書籍!$B$2:$B$2000,MATCH($B851,書籍!$A$2:$A$2000,0)),"（沒建檔）"))</f>
        <v/>
      </c>
      <c r="F851" s="9" t="str">
        <f aca="false">IF($A851="","",IFERROR(INDEX(會員!$B$2:$B$2000,MATCH($A851,會員!$A$2:$A$2000,0)),"（沒建檔）"))</f>
        <v/>
      </c>
      <c r="G851" s="10" t="str">
        <f aca="false">IF($B851="","",IF($D851="","未還","已還"))</f>
        <v/>
      </c>
    </row>
    <row r="852" customFormat="false" ht="15" hidden="false" customHeight="false" outlineLevel="0" collapsed="false">
      <c r="E852" s="9" t="str">
        <f aca="false">IF($B852="","",IFERROR(INDEX(書籍!$B$2:$B$2000,MATCH($B852,書籍!$A$2:$A$2000,0)),"（沒建檔）"))</f>
        <v/>
      </c>
      <c r="F852" s="9" t="str">
        <f aca="false">IF($A852="","",IFERROR(INDEX(會員!$B$2:$B$2000,MATCH($A852,會員!$A$2:$A$2000,0)),"（沒建檔）"))</f>
        <v/>
      </c>
      <c r="G852" s="10" t="str">
        <f aca="false">IF($B852="","",IF($D852="","未還","已還"))</f>
        <v/>
      </c>
    </row>
    <row r="853" customFormat="false" ht="15" hidden="false" customHeight="false" outlineLevel="0" collapsed="false">
      <c r="E853" s="9" t="str">
        <f aca="false">IF($B853="","",IFERROR(INDEX(書籍!$B$2:$B$2000,MATCH($B853,書籍!$A$2:$A$2000,0)),"（沒建檔）"))</f>
        <v/>
      </c>
      <c r="F853" s="9" t="str">
        <f aca="false">IF($A853="","",IFERROR(INDEX(會員!$B$2:$B$2000,MATCH($A853,會員!$A$2:$A$2000,0)),"（沒建檔）"))</f>
        <v/>
      </c>
      <c r="G853" s="10" t="str">
        <f aca="false">IF($B853="","",IF($D853="","未還","已還"))</f>
        <v/>
      </c>
    </row>
    <row r="854" customFormat="false" ht="15" hidden="false" customHeight="false" outlineLevel="0" collapsed="false">
      <c r="E854" s="9" t="str">
        <f aca="false">IF($B854="","",IFERROR(INDEX(書籍!$B$2:$B$2000,MATCH($B854,書籍!$A$2:$A$2000,0)),"（沒建檔）"))</f>
        <v/>
      </c>
      <c r="F854" s="9" t="str">
        <f aca="false">IF($A854="","",IFERROR(INDEX(會員!$B$2:$B$2000,MATCH($A854,會員!$A$2:$A$2000,0)),"（沒建檔）"))</f>
        <v/>
      </c>
      <c r="G854" s="10" t="str">
        <f aca="false">IF($B854="","",IF($D854="","未還","已還"))</f>
        <v/>
      </c>
    </row>
    <row r="855" customFormat="false" ht="15" hidden="false" customHeight="false" outlineLevel="0" collapsed="false">
      <c r="E855" s="9" t="str">
        <f aca="false">IF($B855="","",IFERROR(INDEX(書籍!$B$2:$B$2000,MATCH($B855,書籍!$A$2:$A$2000,0)),"（沒建檔）"))</f>
        <v/>
      </c>
      <c r="F855" s="9" t="str">
        <f aca="false">IF($A855="","",IFERROR(INDEX(會員!$B$2:$B$2000,MATCH($A855,會員!$A$2:$A$2000,0)),"（沒建檔）"))</f>
        <v/>
      </c>
      <c r="G855" s="10" t="str">
        <f aca="false">IF($B855="","",IF($D855="","未還","已還"))</f>
        <v/>
      </c>
    </row>
    <row r="856" customFormat="false" ht="15" hidden="false" customHeight="false" outlineLevel="0" collapsed="false">
      <c r="E856" s="9" t="str">
        <f aca="false">IF($B856="","",IFERROR(INDEX(書籍!$B$2:$B$2000,MATCH($B856,書籍!$A$2:$A$2000,0)),"（沒建檔）"))</f>
        <v/>
      </c>
      <c r="F856" s="9" t="str">
        <f aca="false">IF($A856="","",IFERROR(INDEX(會員!$B$2:$B$2000,MATCH($A856,會員!$A$2:$A$2000,0)),"（沒建檔）"))</f>
        <v/>
      </c>
      <c r="G856" s="10" t="str">
        <f aca="false">IF($B856="","",IF($D856="","未還","已還"))</f>
        <v/>
      </c>
    </row>
    <row r="857" customFormat="false" ht="15" hidden="false" customHeight="false" outlineLevel="0" collapsed="false">
      <c r="E857" s="9" t="str">
        <f aca="false">IF($B857="","",IFERROR(INDEX(書籍!$B$2:$B$2000,MATCH($B857,書籍!$A$2:$A$2000,0)),"（沒建檔）"))</f>
        <v/>
      </c>
      <c r="F857" s="9" t="str">
        <f aca="false">IF($A857="","",IFERROR(INDEX(會員!$B$2:$B$2000,MATCH($A857,會員!$A$2:$A$2000,0)),"（沒建檔）"))</f>
        <v/>
      </c>
      <c r="G857" s="10" t="str">
        <f aca="false">IF($B857="","",IF($D857="","未還","已還"))</f>
        <v/>
      </c>
    </row>
    <row r="858" customFormat="false" ht="15" hidden="false" customHeight="false" outlineLevel="0" collapsed="false">
      <c r="E858" s="9" t="str">
        <f aca="false">IF($B858="","",IFERROR(INDEX(書籍!$B$2:$B$2000,MATCH($B858,書籍!$A$2:$A$2000,0)),"（沒建檔）"))</f>
        <v/>
      </c>
      <c r="F858" s="9" t="str">
        <f aca="false">IF($A858="","",IFERROR(INDEX(會員!$B$2:$B$2000,MATCH($A858,會員!$A$2:$A$2000,0)),"（沒建檔）"))</f>
        <v/>
      </c>
      <c r="G858" s="10" t="str">
        <f aca="false">IF($B858="","",IF($D858="","未還","已還"))</f>
        <v/>
      </c>
    </row>
    <row r="859" customFormat="false" ht="15" hidden="false" customHeight="false" outlineLevel="0" collapsed="false">
      <c r="E859" s="9" t="str">
        <f aca="false">IF($B859="","",IFERROR(INDEX(書籍!$B$2:$B$2000,MATCH($B859,書籍!$A$2:$A$2000,0)),"（沒建檔）"))</f>
        <v/>
      </c>
      <c r="F859" s="9" t="str">
        <f aca="false">IF($A859="","",IFERROR(INDEX(會員!$B$2:$B$2000,MATCH($A859,會員!$A$2:$A$2000,0)),"（沒建檔）"))</f>
        <v/>
      </c>
      <c r="G859" s="10" t="str">
        <f aca="false">IF($B859="","",IF($D859="","未還","已還"))</f>
        <v/>
      </c>
    </row>
    <row r="860" customFormat="false" ht="15" hidden="false" customHeight="false" outlineLevel="0" collapsed="false">
      <c r="E860" s="9" t="str">
        <f aca="false">IF($B860="","",IFERROR(INDEX(書籍!$B$2:$B$2000,MATCH($B860,書籍!$A$2:$A$2000,0)),"（沒建檔）"))</f>
        <v/>
      </c>
      <c r="F860" s="9" t="str">
        <f aca="false">IF($A860="","",IFERROR(INDEX(會員!$B$2:$B$2000,MATCH($A860,會員!$A$2:$A$2000,0)),"（沒建檔）"))</f>
        <v/>
      </c>
      <c r="G860" s="10" t="str">
        <f aca="false">IF($B860="","",IF($D860="","未還","已還"))</f>
        <v/>
      </c>
    </row>
    <row r="861" customFormat="false" ht="15" hidden="false" customHeight="false" outlineLevel="0" collapsed="false">
      <c r="E861" s="9" t="str">
        <f aca="false">IF($B861="","",IFERROR(INDEX(書籍!$B$2:$B$2000,MATCH($B861,書籍!$A$2:$A$2000,0)),"（沒建檔）"))</f>
        <v/>
      </c>
      <c r="F861" s="9" t="str">
        <f aca="false">IF($A861="","",IFERROR(INDEX(會員!$B$2:$B$2000,MATCH($A861,會員!$A$2:$A$2000,0)),"（沒建檔）"))</f>
        <v/>
      </c>
      <c r="G861" s="10" t="str">
        <f aca="false">IF($B861="","",IF($D861="","未還","已還"))</f>
        <v/>
      </c>
    </row>
    <row r="862" customFormat="false" ht="15" hidden="false" customHeight="false" outlineLevel="0" collapsed="false">
      <c r="E862" s="9" t="str">
        <f aca="false">IF($B862="","",IFERROR(INDEX(書籍!$B$2:$B$2000,MATCH($B862,書籍!$A$2:$A$2000,0)),"（沒建檔）"))</f>
        <v/>
      </c>
      <c r="F862" s="9" t="str">
        <f aca="false">IF($A862="","",IFERROR(INDEX(會員!$B$2:$B$2000,MATCH($A862,會員!$A$2:$A$2000,0)),"（沒建檔）"))</f>
        <v/>
      </c>
      <c r="G862" s="10" t="str">
        <f aca="false">IF($B862="","",IF($D862="","未還","已還"))</f>
        <v/>
      </c>
    </row>
    <row r="863" customFormat="false" ht="15" hidden="false" customHeight="false" outlineLevel="0" collapsed="false">
      <c r="E863" s="9" t="str">
        <f aca="false">IF($B863="","",IFERROR(INDEX(書籍!$B$2:$B$2000,MATCH($B863,書籍!$A$2:$A$2000,0)),"（沒建檔）"))</f>
        <v/>
      </c>
      <c r="F863" s="9" t="str">
        <f aca="false">IF($A863="","",IFERROR(INDEX(會員!$B$2:$B$2000,MATCH($A863,會員!$A$2:$A$2000,0)),"（沒建檔）"))</f>
        <v/>
      </c>
      <c r="G863" s="10" t="str">
        <f aca="false">IF($B863="","",IF($D863="","未還","已還"))</f>
        <v/>
      </c>
    </row>
    <row r="864" customFormat="false" ht="15" hidden="false" customHeight="false" outlineLevel="0" collapsed="false">
      <c r="E864" s="9" t="str">
        <f aca="false">IF($B864="","",IFERROR(INDEX(書籍!$B$2:$B$2000,MATCH($B864,書籍!$A$2:$A$2000,0)),"（沒建檔）"))</f>
        <v/>
      </c>
      <c r="F864" s="9" t="str">
        <f aca="false">IF($A864="","",IFERROR(INDEX(會員!$B$2:$B$2000,MATCH($A864,會員!$A$2:$A$2000,0)),"（沒建檔）"))</f>
        <v/>
      </c>
      <c r="G864" s="10" t="str">
        <f aca="false">IF($B864="","",IF($D864="","未還","已還"))</f>
        <v/>
      </c>
    </row>
    <row r="865" customFormat="false" ht="15" hidden="false" customHeight="false" outlineLevel="0" collapsed="false">
      <c r="E865" s="9" t="str">
        <f aca="false">IF($B865="","",IFERROR(INDEX(書籍!$B$2:$B$2000,MATCH($B865,書籍!$A$2:$A$2000,0)),"（沒建檔）"))</f>
        <v/>
      </c>
      <c r="F865" s="9" t="str">
        <f aca="false">IF($A865="","",IFERROR(INDEX(會員!$B$2:$B$2000,MATCH($A865,會員!$A$2:$A$2000,0)),"（沒建檔）"))</f>
        <v/>
      </c>
      <c r="G865" s="10" t="str">
        <f aca="false">IF($B865="","",IF($D865="","未還","已還"))</f>
        <v/>
      </c>
    </row>
    <row r="866" customFormat="false" ht="15" hidden="false" customHeight="false" outlineLevel="0" collapsed="false">
      <c r="E866" s="9" t="str">
        <f aca="false">IF($B866="","",IFERROR(INDEX(書籍!$B$2:$B$2000,MATCH($B866,書籍!$A$2:$A$2000,0)),"（沒建檔）"))</f>
        <v/>
      </c>
      <c r="F866" s="9" t="str">
        <f aca="false">IF($A866="","",IFERROR(INDEX(會員!$B$2:$B$2000,MATCH($A866,會員!$A$2:$A$2000,0)),"（沒建檔）"))</f>
        <v/>
      </c>
      <c r="G866" s="10" t="str">
        <f aca="false">IF($B866="","",IF($D866="","未還","已還"))</f>
        <v/>
      </c>
    </row>
    <row r="867" customFormat="false" ht="15" hidden="false" customHeight="false" outlineLevel="0" collapsed="false">
      <c r="E867" s="9" t="str">
        <f aca="false">IF($B867="","",IFERROR(INDEX(書籍!$B$2:$B$2000,MATCH($B867,書籍!$A$2:$A$2000,0)),"（沒建檔）"))</f>
        <v/>
      </c>
      <c r="F867" s="9" t="str">
        <f aca="false">IF($A867="","",IFERROR(INDEX(會員!$B$2:$B$2000,MATCH($A867,會員!$A$2:$A$2000,0)),"（沒建檔）"))</f>
        <v/>
      </c>
      <c r="G867" s="10" t="str">
        <f aca="false">IF($B867="","",IF($D867="","未還","已還"))</f>
        <v/>
      </c>
    </row>
    <row r="868" customFormat="false" ht="15" hidden="false" customHeight="false" outlineLevel="0" collapsed="false">
      <c r="E868" s="9" t="str">
        <f aca="false">IF($B868="","",IFERROR(INDEX(書籍!$B$2:$B$2000,MATCH($B868,書籍!$A$2:$A$2000,0)),"（沒建檔）"))</f>
        <v/>
      </c>
      <c r="F868" s="9" t="str">
        <f aca="false">IF($A868="","",IFERROR(INDEX(會員!$B$2:$B$2000,MATCH($A868,會員!$A$2:$A$2000,0)),"（沒建檔）"))</f>
        <v/>
      </c>
      <c r="G868" s="10" t="str">
        <f aca="false">IF($B868="","",IF($D868="","未還","已還"))</f>
        <v/>
      </c>
    </row>
    <row r="869" customFormat="false" ht="15" hidden="false" customHeight="false" outlineLevel="0" collapsed="false">
      <c r="E869" s="9" t="str">
        <f aca="false">IF($B869="","",IFERROR(INDEX(書籍!$B$2:$B$2000,MATCH($B869,書籍!$A$2:$A$2000,0)),"（沒建檔）"))</f>
        <v/>
      </c>
      <c r="F869" s="9" t="str">
        <f aca="false">IF($A869="","",IFERROR(INDEX(會員!$B$2:$B$2000,MATCH($A869,會員!$A$2:$A$2000,0)),"（沒建檔）"))</f>
        <v/>
      </c>
      <c r="G869" s="10" t="str">
        <f aca="false">IF($B869="","",IF($D869="","未還","已還"))</f>
        <v/>
      </c>
    </row>
    <row r="870" customFormat="false" ht="15" hidden="false" customHeight="false" outlineLevel="0" collapsed="false">
      <c r="E870" s="9" t="str">
        <f aca="false">IF($B870="","",IFERROR(INDEX(書籍!$B$2:$B$2000,MATCH($B870,書籍!$A$2:$A$2000,0)),"（沒建檔）"))</f>
        <v/>
      </c>
      <c r="F870" s="9" t="str">
        <f aca="false">IF($A870="","",IFERROR(INDEX(會員!$B$2:$B$2000,MATCH($A870,會員!$A$2:$A$2000,0)),"（沒建檔）"))</f>
        <v/>
      </c>
      <c r="G870" s="10" t="str">
        <f aca="false">IF($B870="","",IF($D870="","未還","已還"))</f>
        <v/>
      </c>
    </row>
    <row r="871" customFormat="false" ht="15" hidden="false" customHeight="false" outlineLevel="0" collapsed="false">
      <c r="E871" s="9" t="str">
        <f aca="false">IF($B871="","",IFERROR(INDEX(書籍!$B$2:$B$2000,MATCH($B871,書籍!$A$2:$A$2000,0)),"（沒建檔）"))</f>
        <v/>
      </c>
      <c r="F871" s="9" t="str">
        <f aca="false">IF($A871="","",IFERROR(INDEX(會員!$B$2:$B$2000,MATCH($A871,會員!$A$2:$A$2000,0)),"（沒建檔）"))</f>
        <v/>
      </c>
      <c r="G871" s="10" t="str">
        <f aca="false">IF($B871="","",IF($D871="","未還","已還"))</f>
        <v/>
      </c>
    </row>
    <row r="872" customFormat="false" ht="15" hidden="false" customHeight="false" outlineLevel="0" collapsed="false">
      <c r="E872" s="9" t="str">
        <f aca="false">IF($B872="","",IFERROR(INDEX(書籍!$B$2:$B$2000,MATCH($B872,書籍!$A$2:$A$2000,0)),"（沒建檔）"))</f>
        <v/>
      </c>
      <c r="F872" s="9" t="str">
        <f aca="false">IF($A872="","",IFERROR(INDEX(會員!$B$2:$B$2000,MATCH($A872,會員!$A$2:$A$2000,0)),"（沒建檔）"))</f>
        <v/>
      </c>
      <c r="G872" s="10" t="str">
        <f aca="false">IF($B872="","",IF($D872="","未還","已還"))</f>
        <v/>
      </c>
    </row>
    <row r="873" customFormat="false" ht="15" hidden="false" customHeight="false" outlineLevel="0" collapsed="false">
      <c r="E873" s="9" t="str">
        <f aca="false">IF($B873="","",IFERROR(INDEX(書籍!$B$2:$B$2000,MATCH($B873,書籍!$A$2:$A$2000,0)),"（沒建檔）"))</f>
        <v/>
      </c>
      <c r="F873" s="9" t="str">
        <f aca="false">IF($A873="","",IFERROR(INDEX(會員!$B$2:$B$2000,MATCH($A873,會員!$A$2:$A$2000,0)),"（沒建檔）"))</f>
        <v/>
      </c>
      <c r="G873" s="10" t="str">
        <f aca="false">IF($B873="","",IF($D873="","未還","已還"))</f>
        <v/>
      </c>
    </row>
    <row r="874" customFormat="false" ht="15" hidden="false" customHeight="false" outlineLevel="0" collapsed="false">
      <c r="E874" s="9" t="str">
        <f aca="false">IF($B874="","",IFERROR(INDEX(書籍!$B$2:$B$2000,MATCH($B874,書籍!$A$2:$A$2000,0)),"（沒建檔）"))</f>
        <v/>
      </c>
      <c r="F874" s="9" t="str">
        <f aca="false">IF($A874="","",IFERROR(INDEX(會員!$B$2:$B$2000,MATCH($A874,會員!$A$2:$A$2000,0)),"（沒建檔）"))</f>
        <v/>
      </c>
      <c r="G874" s="10" t="str">
        <f aca="false">IF($B874="","",IF($D874="","未還","已還"))</f>
        <v/>
      </c>
    </row>
    <row r="875" customFormat="false" ht="15" hidden="false" customHeight="false" outlineLevel="0" collapsed="false">
      <c r="E875" s="9" t="str">
        <f aca="false">IF($B875="","",IFERROR(INDEX(書籍!$B$2:$B$2000,MATCH($B875,書籍!$A$2:$A$2000,0)),"（沒建檔）"))</f>
        <v/>
      </c>
      <c r="F875" s="9" t="str">
        <f aca="false">IF($A875="","",IFERROR(INDEX(會員!$B$2:$B$2000,MATCH($A875,會員!$A$2:$A$2000,0)),"（沒建檔）"))</f>
        <v/>
      </c>
      <c r="G875" s="10" t="str">
        <f aca="false">IF($B875="","",IF($D875="","未還","已還"))</f>
        <v/>
      </c>
    </row>
    <row r="876" customFormat="false" ht="15" hidden="false" customHeight="false" outlineLevel="0" collapsed="false">
      <c r="E876" s="9" t="str">
        <f aca="false">IF($B876="","",IFERROR(INDEX(書籍!$B$2:$B$2000,MATCH($B876,書籍!$A$2:$A$2000,0)),"（沒建檔）"))</f>
        <v/>
      </c>
      <c r="F876" s="9" t="str">
        <f aca="false">IF($A876="","",IFERROR(INDEX(會員!$B$2:$B$2000,MATCH($A876,會員!$A$2:$A$2000,0)),"（沒建檔）"))</f>
        <v/>
      </c>
      <c r="G876" s="10" t="str">
        <f aca="false">IF($B876="","",IF($D876="","未還","已還"))</f>
        <v/>
      </c>
    </row>
    <row r="877" customFormat="false" ht="15" hidden="false" customHeight="false" outlineLevel="0" collapsed="false">
      <c r="E877" s="9" t="str">
        <f aca="false">IF($B877="","",IFERROR(INDEX(書籍!$B$2:$B$2000,MATCH($B877,書籍!$A$2:$A$2000,0)),"（沒建檔）"))</f>
        <v/>
      </c>
      <c r="F877" s="9" t="str">
        <f aca="false">IF($A877="","",IFERROR(INDEX(會員!$B$2:$B$2000,MATCH($A877,會員!$A$2:$A$2000,0)),"（沒建檔）"))</f>
        <v/>
      </c>
      <c r="G877" s="10" t="str">
        <f aca="false">IF($B877="","",IF($D877="","未還","已還"))</f>
        <v/>
      </c>
    </row>
    <row r="878" customFormat="false" ht="15" hidden="false" customHeight="false" outlineLevel="0" collapsed="false">
      <c r="E878" s="9" t="str">
        <f aca="false">IF($B878="","",IFERROR(INDEX(書籍!$B$2:$B$2000,MATCH($B878,書籍!$A$2:$A$2000,0)),"（沒建檔）"))</f>
        <v/>
      </c>
      <c r="F878" s="9" t="str">
        <f aca="false">IF($A878="","",IFERROR(INDEX(會員!$B$2:$B$2000,MATCH($A878,會員!$A$2:$A$2000,0)),"（沒建檔）"))</f>
        <v/>
      </c>
      <c r="G878" s="10" t="str">
        <f aca="false">IF($B878="","",IF($D878="","未還","已還"))</f>
        <v/>
      </c>
    </row>
    <row r="879" customFormat="false" ht="15" hidden="false" customHeight="false" outlineLevel="0" collapsed="false">
      <c r="E879" s="9" t="str">
        <f aca="false">IF($B879="","",IFERROR(INDEX(書籍!$B$2:$B$2000,MATCH($B879,書籍!$A$2:$A$2000,0)),"（沒建檔）"))</f>
        <v/>
      </c>
      <c r="F879" s="9" t="str">
        <f aca="false">IF($A879="","",IFERROR(INDEX(會員!$B$2:$B$2000,MATCH($A879,會員!$A$2:$A$2000,0)),"（沒建檔）"))</f>
        <v/>
      </c>
      <c r="G879" s="10" t="str">
        <f aca="false">IF($B879="","",IF($D879="","未還","已還"))</f>
        <v/>
      </c>
    </row>
    <row r="880" customFormat="false" ht="15" hidden="false" customHeight="false" outlineLevel="0" collapsed="false">
      <c r="E880" s="9" t="str">
        <f aca="false">IF($B880="","",IFERROR(INDEX(書籍!$B$2:$B$2000,MATCH($B880,書籍!$A$2:$A$2000,0)),"（沒建檔）"))</f>
        <v/>
      </c>
      <c r="F880" s="9" t="str">
        <f aca="false">IF($A880="","",IFERROR(INDEX(會員!$B$2:$B$2000,MATCH($A880,會員!$A$2:$A$2000,0)),"（沒建檔）"))</f>
        <v/>
      </c>
      <c r="G880" s="10" t="str">
        <f aca="false">IF($B880="","",IF($D880="","未還","已還"))</f>
        <v/>
      </c>
    </row>
    <row r="881" customFormat="false" ht="15" hidden="false" customHeight="false" outlineLevel="0" collapsed="false">
      <c r="E881" s="9" t="str">
        <f aca="false">IF($B881="","",IFERROR(INDEX(書籍!$B$2:$B$2000,MATCH($B881,書籍!$A$2:$A$2000,0)),"（沒建檔）"))</f>
        <v/>
      </c>
      <c r="F881" s="9" t="str">
        <f aca="false">IF($A881="","",IFERROR(INDEX(會員!$B$2:$B$2000,MATCH($A881,會員!$A$2:$A$2000,0)),"（沒建檔）"))</f>
        <v/>
      </c>
      <c r="G881" s="10" t="str">
        <f aca="false">IF($B881="","",IF($D881="","未還","已還"))</f>
        <v/>
      </c>
    </row>
    <row r="882" customFormat="false" ht="15" hidden="false" customHeight="false" outlineLevel="0" collapsed="false">
      <c r="E882" s="9" t="str">
        <f aca="false">IF($B882="","",IFERROR(INDEX(書籍!$B$2:$B$2000,MATCH($B882,書籍!$A$2:$A$2000,0)),"（沒建檔）"))</f>
        <v/>
      </c>
      <c r="F882" s="9" t="str">
        <f aca="false">IF($A882="","",IFERROR(INDEX(會員!$B$2:$B$2000,MATCH($A882,會員!$A$2:$A$2000,0)),"（沒建檔）"))</f>
        <v/>
      </c>
      <c r="G882" s="10" t="str">
        <f aca="false">IF($B882="","",IF($D882="","未還","已還"))</f>
        <v/>
      </c>
    </row>
    <row r="883" customFormat="false" ht="15" hidden="false" customHeight="false" outlineLevel="0" collapsed="false">
      <c r="E883" s="9" t="str">
        <f aca="false">IF($B883="","",IFERROR(INDEX(書籍!$B$2:$B$2000,MATCH($B883,書籍!$A$2:$A$2000,0)),"（沒建檔）"))</f>
        <v/>
      </c>
      <c r="F883" s="9" t="str">
        <f aca="false">IF($A883="","",IFERROR(INDEX(會員!$B$2:$B$2000,MATCH($A883,會員!$A$2:$A$2000,0)),"（沒建檔）"))</f>
        <v/>
      </c>
      <c r="G883" s="10" t="str">
        <f aca="false">IF($B883="","",IF($D883="","未還","已還"))</f>
        <v/>
      </c>
    </row>
    <row r="884" customFormat="false" ht="15" hidden="false" customHeight="false" outlineLevel="0" collapsed="false">
      <c r="E884" s="9" t="str">
        <f aca="false">IF($B884="","",IFERROR(INDEX(書籍!$B$2:$B$2000,MATCH($B884,書籍!$A$2:$A$2000,0)),"（沒建檔）"))</f>
        <v/>
      </c>
      <c r="F884" s="9" t="str">
        <f aca="false">IF($A884="","",IFERROR(INDEX(會員!$B$2:$B$2000,MATCH($A884,會員!$A$2:$A$2000,0)),"（沒建檔）"))</f>
        <v/>
      </c>
      <c r="G884" s="10" t="str">
        <f aca="false">IF($B884="","",IF($D884="","未還","已還"))</f>
        <v/>
      </c>
    </row>
    <row r="885" customFormat="false" ht="15" hidden="false" customHeight="false" outlineLevel="0" collapsed="false">
      <c r="E885" s="9" t="str">
        <f aca="false">IF($B885="","",IFERROR(INDEX(書籍!$B$2:$B$2000,MATCH($B885,書籍!$A$2:$A$2000,0)),"（沒建檔）"))</f>
        <v/>
      </c>
      <c r="F885" s="9" t="str">
        <f aca="false">IF($A885="","",IFERROR(INDEX(會員!$B$2:$B$2000,MATCH($A885,會員!$A$2:$A$2000,0)),"（沒建檔）"))</f>
        <v/>
      </c>
      <c r="G885" s="10" t="str">
        <f aca="false">IF($B885="","",IF($D885="","未還","已還"))</f>
        <v/>
      </c>
    </row>
    <row r="886" customFormat="false" ht="15" hidden="false" customHeight="false" outlineLevel="0" collapsed="false">
      <c r="E886" s="9" t="str">
        <f aca="false">IF($B886="","",IFERROR(INDEX(書籍!$B$2:$B$2000,MATCH($B886,書籍!$A$2:$A$2000,0)),"（沒建檔）"))</f>
        <v/>
      </c>
      <c r="F886" s="9" t="str">
        <f aca="false">IF($A886="","",IFERROR(INDEX(會員!$B$2:$B$2000,MATCH($A886,會員!$A$2:$A$2000,0)),"（沒建檔）"))</f>
        <v/>
      </c>
      <c r="G886" s="10" t="str">
        <f aca="false">IF($B886="","",IF($D886="","未還","已還"))</f>
        <v/>
      </c>
    </row>
    <row r="887" customFormat="false" ht="15" hidden="false" customHeight="false" outlineLevel="0" collapsed="false">
      <c r="E887" s="9" t="str">
        <f aca="false">IF($B887="","",IFERROR(INDEX(書籍!$B$2:$B$2000,MATCH($B887,書籍!$A$2:$A$2000,0)),"（沒建檔）"))</f>
        <v/>
      </c>
      <c r="F887" s="9" t="str">
        <f aca="false">IF($A887="","",IFERROR(INDEX(會員!$B$2:$B$2000,MATCH($A887,會員!$A$2:$A$2000,0)),"（沒建檔）"))</f>
        <v/>
      </c>
      <c r="G887" s="10" t="str">
        <f aca="false">IF($B887="","",IF($D887="","未還","已還"))</f>
        <v/>
      </c>
    </row>
    <row r="888" customFormat="false" ht="15" hidden="false" customHeight="false" outlineLevel="0" collapsed="false">
      <c r="E888" s="9" t="str">
        <f aca="false">IF($B888="","",IFERROR(INDEX(書籍!$B$2:$B$2000,MATCH($B888,書籍!$A$2:$A$2000,0)),"（沒建檔）"))</f>
        <v/>
      </c>
      <c r="F888" s="9" t="str">
        <f aca="false">IF($A888="","",IFERROR(INDEX(會員!$B$2:$B$2000,MATCH($A888,會員!$A$2:$A$2000,0)),"（沒建檔）"))</f>
        <v/>
      </c>
      <c r="G888" s="10" t="str">
        <f aca="false">IF($B888="","",IF($D888="","未還","已還"))</f>
        <v/>
      </c>
    </row>
    <row r="889" customFormat="false" ht="15" hidden="false" customHeight="false" outlineLevel="0" collapsed="false">
      <c r="E889" s="9" t="str">
        <f aca="false">IF($B889="","",IFERROR(INDEX(書籍!$B$2:$B$2000,MATCH($B889,書籍!$A$2:$A$2000,0)),"（沒建檔）"))</f>
        <v/>
      </c>
      <c r="F889" s="9" t="str">
        <f aca="false">IF($A889="","",IFERROR(INDEX(會員!$B$2:$B$2000,MATCH($A889,會員!$A$2:$A$2000,0)),"（沒建檔）"))</f>
        <v/>
      </c>
      <c r="G889" s="10" t="str">
        <f aca="false">IF($B889="","",IF($D889="","未還","已還"))</f>
        <v/>
      </c>
    </row>
    <row r="890" customFormat="false" ht="15" hidden="false" customHeight="false" outlineLevel="0" collapsed="false">
      <c r="E890" s="9" t="str">
        <f aca="false">IF($B890="","",IFERROR(INDEX(書籍!$B$2:$B$2000,MATCH($B890,書籍!$A$2:$A$2000,0)),"（沒建檔）"))</f>
        <v/>
      </c>
      <c r="F890" s="9" t="str">
        <f aca="false">IF($A890="","",IFERROR(INDEX(會員!$B$2:$B$2000,MATCH($A890,會員!$A$2:$A$2000,0)),"（沒建檔）"))</f>
        <v/>
      </c>
      <c r="G890" s="10" t="str">
        <f aca="false">IF($B890="","",IF($D890="","未還","已還"))</f>
        <v/>
      </c>
    </row>
    <row r="891" customFormat="false" ht="15" hidden="false" customHeight="false" outlineLevel="0" collapsed="false">
      <c r="E891" s="9" t="str">
        <f aca="false">IF($B891="","",IFERROR(INDEX(書籍!$B$2:$B$2000,MATCH($B891,書籍!$A$2:$A$2000,0)),"（沒建檔）"))</f>
        <v/>
      </c>
      <c r="F891" s="9" t="str">
        <f aca="false">IF($A891="","",IFERROR(INDEX(會員!$B$2:$B$2000,MATCH($A891,會員!$A$2:$A$2000,0)),"（沒建檔）"))</f>
        <v/>
      </c>
      <c r="G891" s="10" t="str">
        <f aca="false">IF($B891="","",IF($D891="","未還","已還"))</f>
        <v/>
      </c>
    </row>
    <row r="892" customFormat="false" ht="15" hidden="false" customHeight="false" outlineLevel="0" collapsed="false">
      <c r="E892" s="9" t="str">
        <f aca="false">IF($B892="","",IFERROR(INDEX(書籍!$B$2:$B$2000,MATCH($B892,書籍!$A$2:$A$2000,0)),"（沒建檔）"))</f>
        <v/>
      </c>
      <c r="F892" s="9" t="str">
        <f aca="false">IF($A892="","",IFERROR(INDEX(會員!$B$2:$B$2000,MATCH($A892,會員!$A$2:$A$2000,0)),"（沒建檔）"))</f>
        <v/>
      </c>
      <c r="G892" s="10" t="str">
        <f aca="false">IF($B892="","",IF($D892="","未還","已還"))</f>
        <v/>
      </c>
    </row>
    <row r="893" customFormat="false" ht="15" hidden="false" customHeight="false" outlineLevel="0" collapsed="false">
      <c r="E893" s="9" t="str">
        <f aca="false">IF($B893="","",IFERROR(INDEX(書籍!$B$2:$B$2000,MATCH($B893,書籍!$A$2:$A$2000,0)),"（沒建檔）"))</f>
        <v/>
      </c>
      <c r="F893" s="9" t="str">
        <f aca="false">IF($A893="","",IFERROR(INDEX(會員!$B$2:$B$2000,MATCH($A893,會員!$A$2:$A$2000,0)),"（沒建檔）"))</f>
        <v/>
      </c>
      <c r="G893" s="10" t="str">
        <f aca="false">IF($B893="","",IF($D893="","未還","已還"))</f>
        <v/>
      </c>
    </row>
    <row r="894" customFormat="false" ht="15" hidden="false" customHeight="false" outlineLevel="0" collapsed="false">
      <c r="E894" s="9" t="str">
        <f aca="false">IF($B894="","",IFERROR(INDEX(書籍!$B$2:$B$2000,MATCH($B894,書籍!$A$2:$A$2000,0)),"（沒建檔）"))</f>
        <v/>
      </c>
      <c r="F894" s="9" t="str">
        <f aca="false">IF($A894="","",IFERROR(INDEX(會員!$B$2:$B$2000,MATCH($A894,會員!$A$2:$A$2000,0)),"（沒建檔）"))</f>
        <v/>
      </c>
      <c r="G894" s="10" t="str">
        <f aca="false">IF($B894="","",IF($D894="","未還","已還"))</f>
        <v/>
      </c>
    </row>
    <row r="895" customFormat="false" ht="15" hidden="false" customHeight="false" outlineLevel="0" collapsed="false">
      <c r="E895" s="9" t="str">
        <f aca="false">IF($B895="","",IFERROR(INDEX(書籍!$B$2:$B$2000,MATCH($B895,書籍!$A$2:$A$2000,0)),"（沒建檔）"))</f>
        <v/>
      </c>
      <c r="F895" s="9" t="str">
        <f aca="false">IF($A895="","",IFERROR(INDEX(會員!$B$2:$B$2000,MATCH($A895,會員!$A$2:$A$2000,0)),"（沒建檔）"))</f>
        <v/>
      </c>
      <c r="G895" s="10" t="str">
        <f aca="false">IF($B895="","",IF($D895="","未還","已還"))</f>
        <v/>
      </c>
    </row>
    <row r="896" customFormat="false" ht="15" hidden="false" customHeight="false" outlineLevel="0" collapsed="false">
      <c r="E896" s="9" t="str">
        <f aca="false">IF($B896="","",IFERROR(INDEX(書籍!$B$2:$B$2000,MATCH($B896,書籍!$A$2:$A$2000,0)),"（沒建檔）"))</f>
        <v/>
      </c>
      <c r="F896" s="9" t="str">
        <f aca="false">IF($A896="","",IFERROR(INDEX(會員!$B$2:$B$2000,MATCH($A896,會員!$A$2:$A$2000,0)),"（沒建檔）"))</f>
        <v/>
      </c>
      <c r="G896" s="10" t="str">
        <f aca="false">IF($B896="","",IF($D896="","未還","已還"))</f>
        <v/>
      </c>
    </row>
    <row r="897" customFormat="false" ht="15" hidden="false" customHeight="false" outlineLevel="0" collapsed="false">
      <c r="E897" s="9" t="str">
        <f aca="false">IF($B897="","",IFERROR(INDEX(書籍!$B$2:$B$2000,MATCH($B897,書籍!$A$2:$A$2000,0)),"（沒建檔）"))</f>
        <v/>
      </c>
      <c r="F897" s="9" t="str">
        <f aca="false">IF($A897="","",IFERROR(INDEX(會員!$B$2:$B$2000,MATCH($A897,會員!$A$2:$A$2000,0)),"（沒建檔）"))</f>
        <v/>
      </c>
      <c r="G897" s="10" t="str">
        <f aca="false">IF($B897="","",IF($D897="","未還","已還"))</f>
        <v/>
      </c>
    </row>
    <row r="898" customFormat="false" ht="15" hidden="false" customHeight="false" outlineLevel="0" collapsed="false">
      <c r="E898" s="9" t="str">
        <f aca="false">IF($B898="","",IFERROR(INDEX(書籍!$B$2:$B$2000,MATCH($B898,書籍!$A$2:$A$2000,0)),"（沒建檔）"))</f>
        <v/>
      </c>
      <c r="F898" s="9" t="str">
        <f aca="false">IF($A898="","",IFERROR(INDEX(會員!$B$2:$B$2000,MATCH($A898,會員!$A$2:$A$2000,0)),"（沒建檔）"))</f>
        <v/>
      </c>
      <c r="G898" s="10" t="str">
        <f aca="false">IF($B898="","",IF($D898="","未還","已還"))</f>
        <v/>
      </c>
    </row>
    <row r="899" customFormat="false" ht="15" hidden="false" customHeight="false" outlineLevel="0" collapsed="false">
      <c r="E899" s="9" t="str">
        <f aca="false">IF($B899="","",IFERROR(INDEX(書籍!$B$2:$B$2000,MATCH($B899,書籍!$A$2:$A$2000,0)),"（沒建檔）"))</f>
        <v/>
      </c>
      <c r="F899" s="9" t="str">
        <f aca="false">IF($A899="","",IFERROR(INDEX(會員!$B$2:$B$2000,MATCH($A899,會員!$A$2:$A$2000,0)),"（沒建檔）"))</f>
        <v/>
      </c>
      <c r="G899" s="10" t="str">
        <f aca="false">IF($B899="","",IF($D899="","未還","已還"))</f>
        <v/>
      </c>
    </row>
    <row r="900" customFormat="false" ht="15" hidden="false" customHeight="false" outlineLevel="0" collapsed="false">
      <c r="E900" s="9" t="str">
        <f aca="false">IF($B900="","",IFERROR(INDEX(書籍!$B$2:$B$2000,MATCH($B900,書籍!$A$2:$A$2000,0)),"（沒建檔）"))</f>
        <v/>
      </c>
      <c r="F900" s="9" t="str">
        <f aca="false">IF($A900="","",IFERROR(INDEX(會員!$B$2:$B$2000,MATCH($A900,會員!$A$2:$A$2000,0)),"（沒建檔）"))</f>
        <v/>
      </c>
      <c r="G900" s="10" t="str">
        <f aca="false">IF($B900="","",IF($D900="","未還","已還"))</f>
        <v/>
      </c>
    </row>
    <row r="901" customFormat="false" ht="15" hidden="false" customHeight="false" outlineLevel="0" collapsed="false">
      <c r="E901" s="9" t="str">
        <f aca="false">IF($B901="","",IFERROR(INDEX(書籍!$B$2:$B$2000,MATCH($B901,書籍!$A$2:$A$2000,0)),"（沒建檔）"))</f>
        <v/>
      </c>
      <c r="F901" s="9" t="str">
        <f aca="false">IF($A901="","",IFERROR(INDEX(會員!$B$2:$B$2000,MATCH($A901,會員!$A$2:$A$2000,0)),"（沒建檔）"))</f>
        <v/>
      </c>
      <c r="G901" s="10" t="str">
        <f aca="false">IF($B901="","",IF($D901="","未還","已還"))</f>
        <v/>
      </c>
    </row>
    <row r="902" customFormat="false" ht="15" hidden="false" customHeight="false" outlineLevel="0" collapsed="false">
      <c r="E902" s="9" t="str">
        <f aca="false">IF($B902="","",IFERROR(INDEX(書籍!$B$2:$B$2000,MATCH($B902,書籍!$A$2:$A$2000,0)),"（沒建檔）"))</f>
        <v/>
      </c>
      <c r="F902" s="9" t="str">
        <f aca="false">IF($A902="","",IFERROR(INDEX(會員!$B$2:$B$2000,MATCH($A902,會員!$A$2:$A$2000,0)),"（沒建檔）"))</f>
        <v/>
      </c>
      <c r="G902" s="10" t="str">
        <f aca="false">IF($B902="","",IF($D902="","未還","已還"))</f>
        <v/>
      </c>
    </row>
    <row r="903" customFormat="false" ht="15" hidden="false" customHeight="false" outlineLevel="0" collapsed="false">
      <c r="E903" s="9" t="str">
        <f aca="false">IF($B903="","",IFERROR(INDEX(書籍!$B$2:$B$2000,MATCH($B903,書籍!$A$2:$A$2000,0)),"（沒建檔）"))</f>
        <v/>
      </c>
      <c r="F903" s="9" t="str">
        <f aca="false">IF($A903="","",IFERROR(INDEX(會員!$B$2:$B$2000,MATCH($A903,會員!$A$2:$A$2000,0)),"（沒建檔）"))</f>
        <v/>
      </c>
      <c r="G903" s="10" t="str">
        <f aca="false">IF($B903="","",IF($D903="","未還","已還"))</f>
        <v/>
      </c>
    </row>
    <row r="904" customFormat="false" ht="15" hidden="false" customHeight="false" outlineLevel="0" collapsed="false">
      <c r="E904" s="9" t="str">
        <f aca="false">IF($B904="","",IFERROR(INDEX(書籍!$B$2:$B$2000,MATCH($B904,書籍!$A$2:$A$2000,0)),"（沒建檔）"))</f>
        <v/>
      </c>
      <c r="F904" s="9" t="str">
        <f aca="false">IF($A904="","",IFERROR(INDEX(會員!$B$2:$B$2000,MATCH($A904,會員!$A$2:$A$2000,0)),"（沒建檔）"))</f>
        <v/>
      </c>
      <c r="G904" s="10" t="str">
        <f aca="false">IF($B904="","",IF($D904="","未還","已還"))</f>
        <v/>
      </c>
    </row>
    <row r="905" customFormat="false" ht="15" hidden="false" customHeight="false" outlineLevel="0" collapsed="false">
      <c r="E905" s="9" t="str">
        <f aca="false">IF($B905="","",IFERROR(INDEX(書籍!$B$2:$B$2000,MATCH($B905,書籍!$A$2:$A$2000,0)),"（沒建檔）"))</f>
        <v/>
      </c>
      <c r="F905" s="9" t="str">
        <f aca="false">IF($A905="","",IFERROR(INDEX(會員!$B$2:$B$2000,MATCH($A905,會員!$A$2:$A$2000,0)),"（沒建檔）"))</f>
        <v/>
      </c>
      <c r="G905" s="10" t="str">
        <f aca="false">IF($B905="","",IF($D905="","未還","已還"))</f>
        <v/>
      </c>
    </row>
    <row r="906" customFormat="false" ht="15" hidden="false" customHeight="false" outlineLevel="0" collapsed="false">
      <c r="E906" s="9" t="str">
        <f aca="false">IF($B906="","",IFERROR(INDEX(書籍!$B$2:$B$2000,MATCH($B906,書籍!$A$2:$A$2000,0)),"（沒建檔）"))</f>
        <v/>
      </c>
      <c r="F906" s="9" t="str">
        <f aca="false">IF($A906="","",IFERROR(INDEX(會員!$B$2:$B$2000,MATCH($A906,會員!$A$2:$A$2000,0)),"（沒建檔）"))</f>
        <v/>
      </c>
      <c r="G906" s="10" t="str">
        <f aca="false">IF($B906="","",IF($D906="","未還","已還"))</f>
        <v/>
      </c>
    </row>
    <row r="907" customFormat="false" ht="15" hidden="false" customHeight="false" outlineLevel="0" collapsed="false">
      <c r="E907" s="9" t="str">
        <f aca="false">IF($B907="","",IFERROR(INDEX(書籍!$B$2:$B$2000,MATCH($B907,書籍!$A$2:$A$2000,0)),"（沒建檔）"))</f>
        <v/>
      </c>
      <c r="F907" s="9" t="str">
        <f aca="false">IF($A907="","",IFERROR(INDEX(會員!$B$2:$B$2000,MATCH($A907,會員!$A$2:$A$2000,0)),"（沒建檔）"))</f>
        <v/>
      </c>
      <c r="G907" s="10" t="str">
        <f aca="false">IF($B907="","",IF($D907="","未還","已還"))</f>
        <v/>
      </c>
    </row>
    <row r="908" customFormat="false" ht="15" hidden="false" customHeight="false" outlineLevel="0" collapsed="false">
      <c r="E908" s="9" t="str">
        <f aca="false">IF($B908="","",IFERROR(INDEX(書籍!$B$2:$B$2000,MATCH($B908,書籍!$A$2:$A$2000,0)),"（沒建檔）"))</f>
        <v/>
      </c>
      <c r="F908" s="9" t="str">
        <f aca="false">IF($A908="","",IFERROR(INDEX(會員!$B$2:$B$2000,MATCH($A908,會員!$A$2:$A$2000,0)),"（沒建檔）"))</f>
        <v/>
      </c>
      <c r="G908" s="10" t="str">
        <f aca="false">IF($B908="","",IF($D908="","未還","已還"))</f>
        <v/>
      </c>
    </row>
    <row r="909" customFormat="false" ht="15" hidden="false" customHeight="false" outlineLevel="0" collapsed="false">
      <c r="E909" s="9" t="str">
        <f aca="false">IF($B909="","",IFERROR(INDEX(書籍!$B$2:$B$2000,MATCH($B909,書籍!$A$2:$A$2000,0)),"（沒建檔）"))</f>
        <v/>
      </c>
      <c r="F909" s="9" t="str">
        <f aca="false">IF($A909="","",IFERROR(INDEX(會員!$B$2:$B$2000,MATCH($A909,會員!$A$2:$A$2000,0)),"（沒建檔）"))</f>
        <v/>
      </c>
      <c r="G909" s="10" t="str">
        <f aca="false">IF($B909="","",IF($D909="","未還","已還"))</f>
        <v/>
      </c>
    </row>
    <row r="910" customFormat="false" ht="15" hidden="false" customHeight="false" outlineLevel="0" collapsed="false">
      <c r="E910" s="9" t="str">
        <f aca="false">IF($B910="","",IFERROR(INDEX(書籍!$B$2:$B$2000,MATCH($B910,書籍!$A$2:$A$2000,0)),"（沒建檔）"))</f>
        <v/>
      </c>
      <c r="F910" s="9" t="str">
        <f aca="false">IF($A910="","",IFERROR(INDEX(會員!$B$2:$B$2000,MATCH($A910,會員!$A$2:$A$2000,0)),"（沒建檔）"))</f>
        <v/>
      </c>
      <c r="G910" s="10" t="str">
        <f aca="false">IF($B910="","",IF($D910="","未還","已還"))</f>
        <v/>
      </c>
    </row>
    <row r="911" customFormat="false" ht="15" hidden="false" customHeight="false" outlineLevel="0" collapsed="false">
      <c r="E911" s="9" t="str">
        <f aca="false">IF($B911="","",IFERROR(INDEX(書籍!$B$2:$B$2000,MATCH($B911,書籍!$A$2:$A$2000,0)),"（沒建檔）"))</f>
        <v/>
      </c>
      <c r="F911" s="9" t="str">
        <f aca="false">IF($A911="","",IFERROR(INDEX(會員!$B$2:$B$2000,MATCH($A911,會員!$A$2:$A$2000,0)),"（沒建檔）"))</f>
        <v/>
      </c>
      <c r="G911" s="10" t="str">
        <f aca="false">IF($B911="","",IF($D911="","未還","已還"))</f>
        <v/>
      </c>
    </row>
    <row r="912" customFormat="false" ht="15" hidden="false" customHeight="false" outlineLevel="0" collapsed="false">
      <c r="E912" s="9" t="str">
        <f aca="false">IF($B912="","",IFERROR(INDEX(書籍!$B$2:$B$2000,MATCH($B912,書籍!$A$2:$A$2000,0)),"（沒建檔）"))</f>
        <v/>
      </c>
      <c r="F912" s="9" t="str">
        <f aca="false">IF($A912="","",IFERROR(INDEX(會員!$B$2:$B$2000,MATCH($A912,會員!$A$2:$A$2000,0)),"（沒建檔）"))</f>
        <v/>
      </c>
      <c r="G912" s="10" t="str">
        <f aca="false">IF($B912="","",IF($D912="","未還","已還"))</f>
        <v/>
      </c>
    </row>
    <row r="913" customFormat="false" ht="15" hidden="false" customHeight="false" outlineLevel="0" collapsed="false">
      <c r="E913" s="9" t="str">
        <f aca="false">IF($B913="","",IFERROR(INDEX(書籍!$B$2:$B$2000,MATCH($B913,書籍!$A$2:$A$2000,0)),"（沒建檔）"))</f>
        <v/>
      </c>
      <c r="F913" s="9" t="str">
        <f aca="false">IF($A913="","",IFERROR(INDEX(會員!$B$2:$B$2000,MATCH($A913,會員!$A$2:$A$2000,0)),"（沒建檔）"))</f>
        <v/>
      </c>
      <c r="G913" s="10" t="str">
        <f aca="false">IF($B913="","",IF($D913="","未還","已還"))</f>
        <v/>
      </c>
    </row>
    <row r="914" customFormat="false" ht="15" hidden="false" customHeight="false" outlineLevel="0" collapsed="false">
      <c r="E914" s="9" t="str">
        <f aca="false">IF($B914="","",IFERROR(INDEX(書籍!$B$2:$B$2000,MATCH($B914,書籍!$A$2:$A$2000,0)),"（沒建檔）"))</f>
        <v/>
      </c>
      <c r="F914" s="9" t="str">
        <f aca="false">IF($A914="","",IFERROR(INDEX(會員!$B$2:$B$2000,MATCH($A914,會員!$A$2:$A$2000,0)),"（沒建檔）"))</f>
        <v/>
      </c>
      <c r="G914" s="10" t="str">
        <f aca="false">IF($B914="","",IF($D914="","未還","已還"))</f>
        <v/>
      </c>
    </row>
    <row r="915" customFormat="false" ht="15" hidden="false" customHeight="false" outlineLevel="0" collapsed="false">
      <c r="E915" s="9" t="str">
        <f aca="false">IF($B915="","",IFERROR(INDEX(書籍!$B$2:$B$2000,MATCH($B915,書籍!$A$2:$A$2000,0)),"（沒建檔）"))</f>
        <v/>
      </c>
      <c r="F915" s="9" t="str">
        <f aca="false">IF($A915="","",IFERROR(INDEX(會員!$B$2:$B$2000,MATCH($A915,會員!$A$2:$A$2000,0)),"（沒建檔）"))</f>
        <v/>
      </c>
      <c r="G915" s="10" t="str">
        <f aca="false">IF($B915="","",IF($D915="","未還","已還"))</f>
        <v/>
      </c>
    </row>
    <row r="916" customFormat="false" ht="15" hidden="false" customHeight="false" outlineLevel="0" collapsed="false">
      <c r="E916" s="9" t="str">
        <f aca="false">IF($B916="","",IFERROR(INDEX(書籍!$B$2:$B$2000,MATCH($B916,書籍!$A$2:$A$2000,0)),"（沒建檔）"))</f>
        <v/>
      </c>
      <c r="F916" s="9" t="str">
        <f aca="false">IF($A916="","",IFERROR(INDEX(會員!$B$2:$B$2000,MATCH($A916,會員!$A$2:$A$2000,0)),"（沒建檔）"))</f>
        <v/>
      </c>
      <c r="G916" s="10" t="str">
        <f aca="false">IF($B916="","",IF($D916="","未還","已還"))</f>
        <v/>
      </c>
    </row>
    <row r="917" customFormat="false" ht="15" hidden="false" customHeight="false" outlineLevel="0" collapsed="false">
      <c r="E917" s="9" t="str">
        <f aca="false">IF($B917="","",IFERROR(INDEX(書籍!$B$2:$B$2000,MATCH($B917,書籍!$A$2:$A$2000,0)),"（沒建檔）"))</f>
        <v/>
      </c>
      <c r="F917" s="9" t="str">
        <f aca="false">IF($A917="","",IFERROR(INDEX(會員!$B$2:$B$2000,MATCH($A917,會員!$A$2:$A$2000,0)),"（沒建檔）"))</f>
        <v/>
      </c>
      <c r="G917" s="10" t="str">
        <f aca="false">IF($B917="","",IF($D917="","未還","已還"))</f>
        <v/>
      </c>
    </row>
    <row r="918" customFormat="false" ht="15" hidden="false" customHeight="false" outlineLevel="0" collapsed="false">
      <c r="E918" s="9" t="str">
        <f aca="false">IF($B918="","",IFERROR(INDEX(書籍!$B$2:$B$2000,MATCH($B918,書籍!$A$2:$A$2000,0)),"（沒建檔）"))</f>
        <v/>
      </c>
      <c r="F918" s="9" t="str">
        <f aca="false">IF($A918="","",IFERROR(INDEX(會員!$B$2:$B$2000,MATCH($A918,會員!$A$2:$A$2000,0)),"（沒建檔）"))</f>
        <v/>
      </c>
      <c r="G918" s="10" t="str">
        <f aca="false">IF($B918="","",IF($D918="","未還","已還"))</f>
        <v/>
      </c>
    </row>
    <row r="919" customFormat="false" ht="15" hidden="false" customHeight="false" outlineLevel="0" collapsed="false">
      <c r="E919" s="9" t="str">
        <f aca="false">IF($B919="","",IFERROR(INDEX(書籍!$B$2:$B$2000,MATCH($B919,書籍!$A$2:$A$2000,0)),"（沒建檔）"))</f>
        <v/>
      </c>
      <c r="F919" s="9" t="str">
        <f aca="false">IF($A919="","",IFERROR(INDEX(會員!$B$2:$B$2000,MATCH($A919,會員!$A$2:$A$2000,0)),"（沒建檔）"))</f>
        <v/>
      </c>
      <c r="G919" s="10" t="str">
        <f aca="false">IF($B919="","",IF($D919="","未還","已還"))</f>
        <v/>
      </c>
    </row>
    <row r="920" customFormat="false" ht="15" hidden="false" customHeight="false" outlineLevel="0" collapsed="false">
      <c r="E920" s="9" t="str">
        <f aca="false">IF($B920="","",IFERROR(INDEX(書籍!$B$2:$B$2000,MATCH($B920,書籍!$A$2:$A$2000,0)),"（沒建檔）"))</f>
        <v/>
      </c>
      <c r="F920" s="9" t="str">
        <f aca="false">IF($A920="","",IFERROR(INDEX(會員!$B$2:$B$2000,MATCH($A920,會員!$A$2:$A$2000,0)),"（沒建檔）"))</f>
        <v/>
      </c>
      <c r="G920" s="10" t="str">
        <f aca="false">IF($B920="","",IF($D920="","未還","已還"))</f>
        <v/>
      </c>
    </row>
    <row r="921" customFormat="false" ht="15" hidden="false" customHeight="false" outlineLevel="0" collapsed="false">
      <c r="E921" s="9" t="str">
        <f aca="false">IF($B921="","",IFERROR(INDEX(書籍!$B$2:$B$2000,MATCH($B921,書籍!$A$2:$A$2000,0)),"（沒建檔）"))</f>
        <v/>
      </c>
      <c r="F921" s="9" t="str">
        <f aca="false">IF($A921="","",IFERROR(INDEX(會員!$B$2:$B$2000,MATCH($A921,會員!$A$2:$A$2000,0)),"（沒建檔）"))</f>
        <v/>
      </c>
      <c r="G921" s="10" t="str">
        <f aca="false">IF($B921="","",IF($D921="","未還","已還"))</f>
        <v/>
      </c>
    </row>
    <row r="922" customFormat="false" ht="15" hidden="false" customHeight="false" outlineLevel="0" collapsed="false">
      <c r="E922" s="9" t="str">
        <f aca="false">IF($B922="","",IFERROR(INDEX(書籍!$B$2:$B$2000,MATCH($B922,書籍!$A$2:$A$2000,0)),"（沒建檔）"))</f>
        <v/>
      </c>
      <c r="F922" s="9" t="str">
        <f aca="false">IF($A922="","",IFERROR(INDEX(會員!$B$2:$B$2000,MATCH($A922,會員!$A$2:$A$2000,0)),"（沒建檔）"))</f>
        <v/>
      </c>
      <c r="G922" s="10" t="str">
        <f aca="false">IF($B922="","",IF($D922="","未還","已還"))</f>
        <v/>
      </c>
    </row>
    <row r="923" customFormat="false" ht="15" hidden="false" customHeight="false" outlineLevel="0" collapsed="false">
      <c r="E923" s="9" t="str">
        <f aca="false">IF($B923="","",IFERROR(INDEX(書籍!$B$2:$B$2000,MATCH($B923,書籍!$A$2:$A$2000,0)),"（沒建檔）"))</f>
        <v/>
      </c>
      <c r="F923" s="9" t="str">
        <f aca="false">IF($A923="","",IFERROR(INDEX(會員!$B$2:$B$2000,MATCH($A923,會員!$A$2:$A$2000,0)),"（沒建檔）"))</f>
        <v/>
      </c>
      <c r="G923" s="10" t="str">
        <f aca="false">IF($B923="","",IF($D923="","未還","已還"))</f>
        <v/>
      </c>
    </row>
    <row r="924" customFormat="false" ht="15" hidden="false" customHeight="false" outlineLevel="0" collapsed="false">
      <c r="E924" s="9" t="str">
        <f aca="false">IF($B924="","",IFERROR(INDEX(書籍!$B$2:$B$2000,MATCH($B924,書籍!$A$2:$A$2000,0)),"（沒建檔）"))</f>
        <v/>
      </c>
      <c r="F924" s="9" t="str">
        <f aca="false">IF($A924="","",IFERROR(INDEX(會員!$B$2:$B$2000,MATCH($A924,會員!$A$2:$A$2000,0)),"（沒建檔）"))</f>
        <v/>
      </c>
      <c r="G924" s="10" t="str">
        <f aca="false">IF($B924="","",IF($D924="","未還","已還"))</f>
        <v/>
      </c>
    </row>
    <row r="925" customFormat="false" ht="15" hidden="false" customHeight="false" outlineLevel="0" collapsed="false">
      <c r="E925" s="9" t="str">
        <f aca="false">IF($B925="","",IFERROR(INDEX(書籍!$B$2:$B$2000,MATCH($B925,書籍!$A$2:$A$2000,0)),"（沒建檔）"))</f>
        <v/>
      </c>
      <c r="F925" s="9" t="str">
        <f aca="false">IF($A925="","",IFERROR(INDEX(會員!$B$2:$B$2000,MATCH($A925,會員!$A$2:$A$2000,0)),"（沒建檔）"))</f>
        <v/>
      </c>
      <c r="G925" s="10" t="str">
        <f aca="false">IF($B925="","",IF($D925="","未還","已還"))</f>
        <v/>
      </c>
    </row>
    <row r="926" customFormat="false" ht="15" hidden="false" customHeight="false" outlineLevel="0" collapsed="false">
      <c r="E926" s="9" t="str">
        <f aca="false">IF($B926="","",IFERROR(INDEX(書籍!$B$2:$B$2000,MATCH($B926,書籍!$A$2:$A$2000,0)),"（沒建檔）"))</f>
        <v/>
      </c>
      <c r="F926" s="9" t="str">
        <f aca="false">IF($A926="","",IFERROR(INDEX(會員!$B$2:$B$2000,MATCH($A926,會員!$A$2:$A$2000,0)),"（沒建檔）"))</f>
        <v/>
      </c>
      <c r="G926" s="10" t="str">
        <f aca="false">IF($B926="","",IF($D926="","未還","已還"))</f>
        <v/>
      </c>
    </row>
    <row r="927" customFormat="false" ht="15" hidden="false" customHeight="false" outlineLevel="0" collapsed="false">
      <c r="E927" s="9" t="str">
        <f aca="false">IF($B927="","",IFERROR(INDEX(書籍!$B$2:$B$2000,MATCH($B927,書籍!$A$2:$A$2000,0)),"（沒建檔）"))</f>
        <v/>
      </c>
      <c r="F927" s="9" t="str">
        <f aca="false">IF($A927="","",IFERROR(INDEX(會員!$B$2:$B$2000,MATCH($A927,會員!$A$2:$A$2000,0)),"（沒建檔）"))</f>
        <v/>
      </c>
      <c r="G927" s="10" t="str">
        <f aca="false">IF($B927="","",IF($D927="","未還","已還"))</f>
        <v/>
      </c>
    </row>
    <row r="928" customFormat="false" ht="15" hidden="false" customHeight="false" outlineLevel="0" collapsed="false">
      <c r="E928" s="9" t="str">
        <f aca="false">IF($B928="","",IFERROR(INDEX(書籍!$B$2:$B$2000,MATCH($B928,書籍!$A$2:$A$2000,0)),"（沒建檔）"))</f>
        <v/>
      </c>
      <c r="F928" s="9" t="str">
        <f aca="false">IF($A928="","",IFERROR(INDEX(會員!$B$2:$B$2000,MATCH($A928,會員!$A$2:$A$2000,0)),"（沒建檔）"))</f>
        <v/>
      </c>
      <c r="G928" s="10" t="str">
        <f aca="false">IF($B928="","",IF($D928="","未還","已還"))</f>
        <v/>
      </c>
    </row>
    <row r="929" customFormat="false" ht="15" hidden="false" customHeight="false" outlineLevel="0" collapsed="false">
      <c r="E929" s="9" t="str">
        <f aca="false">IF($B929="","",IFERROR(INDEX(書籍!$B$2:$B$2000,MATCH($B929,書籍!$A$2:$A$2000,0)),"（沒建檔）"))</f>
        <v/>
      </c>
      <c r="F929" s="9" t="str">
        <f aca="false">IF($A929="","",IFERROR(INDEX(會員!$B$2:$B$2000,MATCH($A929,會員!$A$2:$A$2000,0)),"（沒建檔）"))</f>
        <v/>
      </c>
      <c r="G929" s="10" t="str">
        <f aca="false">IF($B929="","",IF($D929="","未還","已還"))</f>
        <v/>
      </c>
    </row>
    <row r="930" customFormat="false" ht="15" hidden="false" customHeight="false" outlineLevel="0" collapsed="false">
      <c r="E930" s="9" t="str">
        <f aca="false">IF($B930="","",IFERROR(INDEX(書籍!$B$2:$B$2000,MATCH($B930,書籍!$A$2:$A$2000,0)),"（沒建檔）"))</f>
        <v/>
      </c>
      <c r="F930" s="9" t="str">
        <f aca="false">IF($A930="","",IFERROR(INDEX(會員!$B$2:$B$2000,MATCH($A930,會員!$A$2:$A$2000,0)),"（沒建檔）"))</f>
        <v/>
      </c>
      <c r="G930" s="10" t="str">
        <f aca="false">IF($B930="","",IF($D930="","未還","已還"))</f>
        <v/>
      </c>
    </row>
    <row r="931" customFormat="false" ht="15" hidden="false" customHeight="false" outlineLevel="0" collapsed="false">
      <c r="E931" s="9" t="str">
        <f aca="false">IF($B931="","",IFERROR(INDEX(書籍!$B$2:$B$2000,MATCH($B931,書籍!$A$2:$A$2000,0)),"（沒建檔）"))</f>
        <v/>
      </c>
      <c r="F931" s="9" t="str">
        <f aca="false">IF($A931="","",IFERROR(INDEX(會員!$B$2:$B$2000,MATCH($A931,會員!$A$2:$A$2000,0)),"（沒建檔）"))</f>
        <v/>
      </c>
      <c r="G931" s="10" t="str">
        <f aca="false">IF($B931="","",IF($D931="","未還","已還"))</f>
        <v/>
      </c>
    </row>
    <row r="932" customFormat="false" ht="15" hidden="false" customHeight="false" outlineLevel="0" collapsed="false">
      <c r="E932" s="9" t="str">
        <f aca="false">IF($B932="","",IFERROR(INDEX(書籍!$B$2:$B$2000,MATCH($B932,書籍!$A$2:$A$2000,0)),"（沒建檔）"))</f>
        <v/>
      </c>
      <c r="F932" s="9" t="str">
        <f aca="false">IF($A932="","",IFERROR(INDEX(會員!$B$2:$B$2000,MATCH($A932,會員!$A$2:$A$2000,0)),"（沒建檔）"))</f>
        <v/>
      </c>
      <c r="G932" s="10" t="str">
        <f aca="false">IF($B932="","",IF($D932="","未還","已還"))</f>
        <v/>
      </c>
    </row>
    <row r="933" customFormat="false" ht="15" hidden="false" customHeight="false" outlineLevel="0" collapsed="false">
      <c r="E933" s="9" t="str">
        <f aca="false">IF($B933="","",IFERROR(INDEX(書籍!$B$2:$B$2000,MATCH($B933,書籍!$A$2:$A$2000,0)),"（沒建檔）"))</f>
        <v/>
      </c>
      <c r="F933" s="9" t="str">
        <f aca="false">IF($A933="","",IFERROR(INDEX(會員!$B$2:$B$2000,MATCH($A933,會員!$A$2:$A$2000,0)),"（沒建檔）"))</f>
        <v/>
      </c>
      <c r="G933" s="10" t="str">
        <f aca="false">IF($B933="","",IF($D933="","未還","已還"))</f>
        <v/>
      </c>
    </row>
    <row r="934" customFormat="false" ht="15" hidden="false" customHeight="false" outlineLevel="0" collapsed="false">
      <c r="E934" s="9" t="str">
        <f aca="false">IF($B934="","",IFERROR(INDEX(書籍!$B$2:$B$2000,MATCH($B934,書籍!$A$2:$A$2000,0)),"（沒建檔）"))</f>
        <v/>
      </c>
      <c r="F934" s="9" t="str">
        <f aca="false">IF($A934="","",IFERROR(INDEX(會員!$B$2:$B$2000,MATCH($A934,會員!$A$2:$A$2000,0)),"（沒建檔）"))</f>
        <v/>
      </c>
      <c r="G934" s="10" t="str">
        <f aca="false">IF($B934="","",IF($D934="","未還","已還"))</f>
        <v/>
      </c>
    </row>
    <row r="935" customFormat="false" ht="15" hidden="false" customHeight="false" outlineLevel="0" collapsed="false">
      <c r="E935" s="9" t="str">
        <f aca="false">IF($B935="","",IFERROR(INDEX(書籍!$B$2:$B$2000,MATCH($B935,書籍!$A$2:$A$2000,0)),"（沒建檔）"))</f>
        <v/>
      </c>
      <c r="F935" s="9" t="str">
        <f aca="false">IF($A935="","",IFERROR(INDEX(會員!$B$2:$B$2000,MATCH($A935,會員!$A$2:$A$2000,0)),"（沒建檔）"))</f>
        <v/>
      </c>
      <c r="G935" s="10" t="str">
        <f aca="false">IF($B935="","",IF($D935="","未還","已還"))</f>
        <v/>
      </c>
    </row>
    <row r="936" customFormat="false" ht="15" hidden="false" customHeight="false" outlineLevel="0" collapsed="false">
      <c r="E936" s="9" t="str">
        <f aca="false">IF($B936="","",IFERROR(INDEX(書籍!$B$2:$B$2000,MATCH($B936,書籍!$A$2:$A$2000,0)),"（沒建檔）"))</f>
        <v/>
      </c>
      <c r="F936" s="9" t="str">
        <f aca="false">IF($A936="","",IFERROR(INDEX(會員!$B$2:$B$2000,MATCH($A936,會員!$A$2:$A$2000,0)),"（沒建檔）"))</f>
        <v/>
      </c>
      <c r="G936" s="10" t="str">
        <f aca="false">IF($B936="","",IF($D936="","未還","已還"))</f>
        <v/>
      </c>
    </row>
    <row r="937" customFormat="false" ht="15" hidden="false" customHeight="false" outlineLevel="0" collapsed="false">
      <c r="E937" s="9" t="str">
        <f aca="false">IF($B937="","",IFERROR(INDEX(書籍!$B$2:$B$2000,MATCH($B937,書籍!$A$2:$A$2000,0)),"（沒建檔）"))</f>
        <v/>
      </c>
      <c r="F937" s="9" t="str">
        <f aca="false">IF($A937="","",IFERROR(INDEX(會員!$B$2:$B$2000,MATCH($A937,會員!$A$2:$A$2000,0)),"（沒建檔）"))</f>
        <v/>
      </c>
      <c r="G937" s="10" t="str">
        <f aca="false">IF($B937="","",IF($D937="","未還","已還"))</f>
        <v/>
      </c>
    </row>
    <row r="938" customFormat="false" ht="15" hidden="false" customHeight="false" outlineLevel="0" collapsed="false">
      <c r="E938" s="9" t="str">
        <f aca="false">IF($B938="","",IFERROR(INDEX(書籍!$B$2:$B$2000,MATCH($B938,書籍!$A$2:$A$2000,0)),"（沒建檔）"))</f>
        <v/>
      </c>
      <c r="F938" s="9" t="str">
        <f aca="false">IF($A938="","",IFERROR(INDEX(會員!$B$2:$B$2000,MATCH($A938,會員!$A$2:$A$2000,0)),"（沒建檔）"))</f>
        <v/>
      </c>
      <c r="G938" s="10" t="str">
        <f aca="false">IF($B938="","",IF($D938="","未還","已還"))</f>
        <v/>
      </c>
    </row>
    <row r="939" customFormat="false" ht="15" hidden="false" customHeight="false" outlineLevel="0" collapsed="false">
      <c r="E939" s="9" t="str">
        <f aca="false">IF($B939="","",IFERROR(INDEX(書籍!$B$2:$B$2000,MATCH($B939,書籍!$A$2:$A$2000,0)),"（沒建檔）"))</f>
        <v/>
      </c>
      <c r="F939" s="9" t="str">
        <f aca="false">IF($A939="","",IFERROR(INDEX(會員!$B$2:$B$2000,MATCH($A939,會員!$A$2:$A$2000,0)),"（沒建檔）"))</f>
        <v/>
      </c>
      <c r="G939" s="10" t="str">
        <f aca="false">IF($B939="","",IF($D939="","未還","已還"))</f>
        <v/>
      </c>
    </row>
    <row r="940" customFormat="false" ht="15" hidden="false" customHeight="false" outlineLevel="0" collapsed="false">
      <c r="E940" s="9" t="str">
        <f aca="false">IF($B940="","",IFERROR(INDEX(書籍!$B$2:$B$2000,MATCH($B940,書籍!$A$2:$A$2000,0)),"（沒建檔）"))</f>
        <v/>
      </c>
      <c r="F940" s="9" t="str">
        <f aca="false">IF($A940="","",IFERROR(INDEX(會員!$B$2:$B$2000,MATCH($A940,會員!$A$2:$A$2000,0)),"（沒建檔）"))</f>
        <v/>
      </c>
      <c r="G940" s="10" t="str">
        <f aca="false">IF($B940="","",IF($D940="","未還","已還"))</f>
        <v/>
      </c>
    </row>
    <row r="941" customFormat="false" ht="15" hidden="false" customHeight="false" outlineLevel="0" collapsed="false">
      <c r="E941" s="9" t="str">
        <f aca="false">IF($B941="","",IFERROR(INDEX(書籍!$B$2:$B$2000,MATCH($B941,書籍!$A$2:$A$2000,0)),"（沒建檔）"))</f>
        <v/>
      </c>
      <c r="F941" s="9" t="str">
        <f aca="false">IF($A941="","",IFERROR(INDEX(會員!$B$2:$B$2000,MATCH($A941,會員!$A$2:$A$2000,0)),"（沒建檔）"))</f>
        <v/>
      </c>
      <c r="G941" s="10" t="str">
        <f aca="false">IF($B941="","",IF($D941="","未還","已還"))</f>
        <v/>
      </c>
    </row>
    <row r="942" customFormat="false" ht="15" hidden="false" customHeight="false" outlineLevel="0" collapsed="false">
      <c r="E942" s="9" t="str">
        <f aca="false">IF($B942="","",IFERROR(INDEX(書籍!$B$2:$B$2000,MATCH($B942,書籍!$A$2:$A$2000,0)),"（沒建檔）"))</f>
        <v/>
      </c>
      <c r="F942" s="9" t="str">
        <f aca="false">IF($A942="","",IFERROR(INDEX(會員!$B$2:$B$2000,MATCH($A942,會員!$A$2:$A$2000,0)),"（沒建檔）"))</f>
        <v/>
      </c>
      <c r="G942" s="10" t="str">
        <f aca="false">IF($B942="","",IF($D942="","未還","已還"))</f>
        <v/>
      </c>
    </row>
    <row r="943" customFormat="false" ht="15" hidden="false" customHeight="false" outlineLevel="0" collapsed="false">
      <c r="E943" s="9" t="str">
        <f aca="false">IF($B943="","",IFERROR(INDEX(書籍!$B$2:$B$2000,MATCH($B943,書籍!$A$2:$A$2000,0)),"（沒建檔）"))</f>
        <v/>
      </c>
      <c r="F943" s="9" t="str">
        <f aca="false">IF($A943="","",IFERROR(INDEX(會員!$B$2:$B$2000,MATCH($A943,會員!$A$2:$A$2000,0)),"（沒建檔）"))</f>
        <v/>
      </c>
      <c r="G943" s="10" t="str">
        <f aca="false">IF($B943="","",IF($D943="","未還","已還"))</f>
        <v/>
      </c>
    </row>
    <row r="944" customFormat="false" ht="15" hidden="false" customHeight="false" outlineLevel="0" collapsed="false">
      <c r="E944" s="9" t="str">
        <f aca="false">IF($B944="","",IFERROR(INDEX(書籍!$B$2:$B$2000,MATCH($B944,書籍!$A$2:$A$2000,0)),"（沒建檔）"))</f>
        <v/>
      </c>
      <c r="F944" s="9" t="str">
        <f aca="false">IF($A944="","",IFERROR(INDEX(會員!$B$2:$B$2000,MATCH($A944,會員!$A$2:$A$2000,0)),"（沒建檔）"))</f>
        <v/>
      </c>
      <c r="G944" s="10" t="str">
        <f aca="false">IF($B944="","",IF($D944="","未還","已還"))</f>
        <v/>
      </c>
    </row>
    <row r="945" customFormat="false" ht="15" hidden="false" customHeight="false" outlineLevel="0" collapsed="false">
      <c r="E945" s="9" t="str">
        <f aca="false">IF($B945="","",IFERROR(INDEX(書籍!$B$2:$B$2000,MATCH($B945,書籍!$A$2:$A$2000,0)),"（沒建檔）"))</f>
        <v/>
      </c>
      <c r="F945" s="9" t="str">
        <f aca="false">IF($A945="","",IFERROR(INDEX(會員!$B$2:$B$2000,MATCH($A945,會員!$A$2:$A$2000,0)),"（沒建檔）"))</f>
        <v/>
      </c>
      <c r="G945" s="10" t="str">
        <f aca="false">IF($B945="","",IF($D945="","未還","已還"))</f>
        <v/>
      </c>
    </row>
    <row r="946" customFormat="false" ht="15" hidden="false" customHeight="false" outlineLevel="0" collapsed="false">
      <c r="E946" s="9" t="str">
        <f aca="false">IF($B946="","",IFERROR(INDEX(書籍!$B$2:$B$2000,MATCH($B946,書籍!$A$2:$A$2000,0)),"（沒建檔）"))</f>
        <v/>
      </c>
      <c r="F946" s="9" t="str">
        <f aca="false">IF($A946="","",IFERROR(INDEX(會員!$B$2:$B$2000,MATCH($A946,會員!$A$2:$A$2000,0)),"（沒建檔）"))</f>
        <v/>
      </c>
      <c r="G946" s="10" t="str">
        <f aca="false">IF($B946="","",IF($D946="","未還","已還"))</f>
        <v/>
      </c>
    </row>
    <row r="947" customFormat="false" ht="15" hidden="false" customHeight="false" outlineLevel="0" collapsed="false">
      <c r="E947" s="9" t="str">
        <f aca="false">IF($B947="","",IFERROR(INDEX(書籍!$B$2:$B$2000,MATCH($B947,書籍!$A$2:$A$2000,0)),"（沒建檔）"))</f>
        <v/>
      </c>
      <c r="F947" s="9" t="str">
        <f aca="false">IF($A947="","",IFERROR(INDEX(會員!$B$2:$B$2000,MATCH($A947,會員!$A$2:$A$2000,0)),"（沒建檔）"))</f>
        <v/>
      </c>
      <c r="G947" s="10" t="str">
        <f aca="false">IF($B947="","",IF($D947="","未還","已還"))</f>
        <v/>
      </c>
    </row>
    <row r="948" customFormat="false" ht="15" hidden="false" customHeight="false" outlineLevel="0" collapsed="false">
      <c r="E948" s="9" t="str">
        <f aca="false">IF($B948="","",IFERROR(INDEX(書籍!$B$2:$B$2000,MATCH($B948,書籍!$A$2:$A$2000,0)),"（沒建檔）"))</f>
        <v/>
      </c>
      <c r="F948" s="9" t="str">
        <f aca="false">IF($A948="","",IFERROR(INDEX(會員!$B$2:$B$2000,MATCH($A948,會員!$A$2:$A$2000,0)),"（沒建檔）"))</f>
        <v/>
      </c>
      <c r="G948" s="10" t="str">
        <f aca="false">IF($B948="","",IF($D948="","未還","已還"))</f>
        <v/>
      </c>
    </row>
    <row r="949" customFormat="false" ht="15" hidden="false" customHeight="false" outlineLevel="0" collapsed="false">
      <c r="E949" s="9" t="str">
        <f aca="false">IF($B949="","",IFERROR(INDEX(書籍!$B$2:$B$2000,MATCH($B949,書籍!$A$2:$A$2000,0)),"（沒建檔）"))</f>
        <v/>
      </c>
      <c r="F949" s="9" t="str">
        <f aca="false">IF($A949="","",IFERROR(INDEX(會員!$B$2:$B$2000,MATCH($A949,會員!$A$2:$A$2000,0)),"（沒建檔）"))</f>
        <v/>
      </c>
      <c r="G949" s="10" t="str">
        <f aca="false">IF($B949="","",IF($D949="","未還","已還"))</f>
        <v/>
      </c>
    </row>
    <row r="950" customFormat="false" ht="15" hidden="false" customHeight="false" outlineLevel="0" collapsed="false">
      <c r="E950" s="9" t="str">
        <f aca="false">IF($B950="","",IFERROR(INDEX(書籍!$B$2:$B$2000,MATCH($B950,書籍!$A$2:$A$2000,0)),"（沒建檔）"))</f>
        <v/>
      </c>
      <c r="F950" s="9" t="str">
        <f aca="false">IF($A950="","",IFERROR(INDEX(會員!$B$2:$B$2000,MATCH($A950,會員!$A$2:$A$2000,0)),"（沒建檔）"))</f>
        <v/>
      </c>
      <c r="G950" s="10" t="str">
        <f aca="false">IF($B950="","",IF($D950="","未還","已還"))</f>
        <v/>
      </c>
    </row>
    <row r="951" customFormat="false" ht="15" hidden="false" customHeight="false" outlineLevel="0" collapsed="false">
      <c r="E951" s="9" t="str">
        <f aca="false">IF($B951="","",IFERROR(INDEX(書籍!$B$2:$B$2000,MATCH($B951,書籍!$A$2:$A$2000,0)),"（沒建檔）"))</f>
        <v/>
      </c>
      <c r="F951" s="9" t="str">
        <f aca="false">IF($A951="","",IFERROR(INDEX(會員!$B$2:$B$2000,MATCH($A951,會員!$A$2:$A$2000,0)),"（沒建檔）"))</f>
        <v/>
      </c>
      <c r="G951" s="10" t="str">
        <f aca="false">IF($B951="","",IF($D951="","未還","已還"))</f>
        <v/>
      </c>
    </row>
    <row r="952" customFormat="false" ht="15" hidden="false" customHeight="false" outlineLevel="0" collapsed="false">
      <c r="E952" s="9" t="str">
        <f aca="false">IF($B952="","",IFERROR(INDEX(書籍!$B$2:$B$2000,MATCH($B952,書籍!$A$2:$A$2000,0)),"（沒建檔）"))</f>
        <v/>
      </c>
      <c r="F952" s="9" t="str">
        <f aca="false">IF($A952="","",IFERROR(INDEX(會員!$B$2:$B$2000,MATCH($A952,會員!$A$2:$A$2000,0)),"（沒建檔）"))</f>
        <v/>
      </c>
      <c r="G952" s="10" t="str">
        <f aca="false">IF($B952="","",IF($D952="","未還","已還"))</f>
        <v/>
      </c>
    </row>
    <row r="953" customFormat="false" ht="15" hidden="false" customHeight="false" outlineLevel="0" collapsed="false">
      <c r="E953" s="9" t="str">
        <f aca="false">IF($B953="","",IFERROR(INDEX(書籍!$B$2:$B$2000,MATCH($B953,書籍!$A$2:$A$2000,0)),"（沒建檔）"))</f>
        <v/>
      </c>
      <c r="F953" s="9" t="str">
        <f aca="false">IF($A953="","",IFERROR(INDEX(會員!$B$2:$B$2000,MATCH($A953,會員!$A$2:$A$2000,0)),"（沒建檔）"))</f>
        <v/>
      </c>
      <c r="G953" s="10" t="str">
        <f aca="false">IF($B953="","",IF($D953="","未還","已還"))</f>
        <v/>
      </c>
    </row>
    <row r="954" customFormat="false" ht="15" hidden="false" customHeight="false" outlineLevel="0" collapsed="false">
      <c r="E954" s="9" t="str">
        <f aca="false">IF($B954="","",IFERROR(INDEX(書籍!$B$2:$B$2000,MATCH($B954,書籍!$A$2:$A$2000,0)),"（沒建檔）"))</f>
        <v/>
      </c>
      <c r="F954" s="9" t="str">
        <f aca="false">IF($A954="","",IFERROR(INDEX(會員!$B$2:$B$2000,MATCH($A954,會員!$A$2:$A$2000,0)),"（沒建檔）"))</f>
        <v/>
      </c>
      <c r="G954" s="10" t="str">
        <f aca="false">IF($B954="","",IF($D954="","未還","已還"))</f>
        <v/>
      </c>
    </row>
    <row r="955" customFormat="false" ht="15" hidden="false" customHeight="false" outlineLevel="0" collapsed="false">
      <c r="E955" s="9" t="str">
        <f aca="false">IF($B955="","",IFERROR(INDEX(書籍!$B$2:$B$2000,MATCH($B955,書籍!$A$2:$A$2000,0)),"（沒建檔）"))</f>
        <v/>
      </c>
      <c r="F955" s="9" t="str">
        <f aca="false">IF($A955="","",IFERROR(INDEX(會員!$B$2:$B$2000,MATCH($A955,會員!$A$2:$A$2000,0)),"（沒建檔）"))</f>
        <v/>
      </c>
      <c r="G955" s="10" t="str">
        <f aca="false">IF($B955="","",IF($D955="","未還","已還"))</f>
        <v/>
      </c>
    </row>
    <row r="956" customFormat="false" ht="15" hidden="false" customHeight="false" outlineLevel="0" collapsed="false">
      <c r="E956" s="9" t="str">
        <f aca="false">IF($B956="","",IFERROR(INDEX(書籍!$B$2:$B$2000,MATCH($B956,書籍!$A$2:$A$2000,0)),"（沒建檔）"))</f>
        <v/>
      </c>
      <c r="F956" s="9" t="str">
        <f aca="false">IF($A956="","",IFERROR(INDEX(會員!$B$2:$B$2000,MATCH($A956,會員!$A$2:$A$2000,0)),"（沒建檔）"))</f>
        <v/>
      </c>
      <c r="G956" s="10" t="str">
        <f aca="false">IF($B956="","",IF($D956="","未還","已還"))</f>
        <v/>
      </c>
    </row>
    <row r="957" customFormat="false" ht="15" hidden="false" customHeight="false" outlineLevel="0" collapsed="false">
      <c r="E957" s="9" t="str">
        <f aca="false">IF($B957="","",IFERROR(INDEX(書籍!$B$2:$B$2000,MATCH($B957,書籍!$A$2:$A$2000,0)),"（沒建檔）"))</f>
        <v/>
      </c>
      <c r="F957" s="9" t="str">
        <f aca="false">IF($A957="","",IFERROR(INDEX(會員!$B$2:$B$2000,MATCH($A957,會員!$A$2:$A$2000,0)),"（沒建檔）"))</f>
        <v/>
      </c>
      <c r="G957" s="10" t="str">
        <f aca="false">IF($B957="","",IF($D957="","未還","已還"))</f>
        <v/>
      </c>
    </row>
    <row r="958" customFormat="false" ht="15" hidden="false" customHeight="false" outlineLevel="0" collapsed="false">
      <c r="E958" s="9" t="str">
        <f aca="false">IF($B958="","",IFERROR(INDEX(書籍!$B$2:$B$2000,MATCH($B958,書籍!$A$2:$A$2000,0)),"（沒建檔）"))</f>
        <v/>
      </c>
      <c r="F958" s="9" t="str">
        <f aca="false">IF($A958="","",IFERROR(INDEX(會員!$B$2:$B$2000,MATCH($A958,會員!$A$2:$A$2000,0)),"（沒建檔）"))</f>
        <v/>
      </c>
      <c r="G958" s="10" t="str">
        <f aca="false">IF($B958="","",IF($D958="","未還","已還"))</f>
        <v/>
      </c>
    </row>
    <row r="959" customFormat="false" ht="15" hidden="false" customHeight="false" outlineLevel="0" collapsed="false">
      <c r="E959" s="9" t="str">
        <f aca="false">IF($B959="","",IFERROR(INDEX(書籍!$B$2:$B$2000,MATCH($B959,書籍!$A$2:$A$2000,0)),"（沒建檔）"))</f>
        <v/>
      </c>
      <c r="F959" s="9" t="str">
        <f aca="false">IF($A959="","",IFERROR(INDEX(會員!$B$2:$B$2000,MATCH($A959,會員!$A$2:$A$2000,0)),"（沒建檔）"))</f>
        <v/>
      </c>
      <c r="G959" s="10" t="str">
        <f aca="false">IF($B959="","",IF($D959="","未還","已還"))</f>
        <v/>
      </c>
    </row>
    <row r="960" customFormat="false" ht="15" hidden="false" customHeight="false" outlineLevel="0" collapsed="false">
      <c r="E960" s="9" t="str">
        <f aca="false">IF($B960="","",IFERROR(INDEX(書籍!$B$2:$B$2000,MATCH($B960,書籍!$A$2:$A$2000,0)),"（沒建檔）"))</f>
        <v/>
      </c>
      <c r="F960" s="9" t="str">
        <f aca="false">IF($A960="","",IFERROR(INDEX(會員!$B$2:$B$2000,MATCH($A960,會員!$A$2:$A$2000,0)),"（沒建檔）"))</f>
        <v/>
      </c>
      <c r="G960" s="10" t="str">
        <f aca="false">IF($B960="","",IF($D960="","未還","已還"))</f>
        <v/>
      </c>
    </row>
    <row r="961" customFormat="false" ht="15" hidden="false" customHeight="false" outlineLevel="0" collapsed="false">
      <c r="E961" s="9" t="str">
        <f aca="false">IF($B961="","",IFERROR(INDEX(書籍!$B$2:$B$2000,MATCH($B961,書籍!$A$2:$A$2000,0)),"（沒建檔）"))</f>
        <v/>
      </c>
      <c r="F961" s="9" t="str">
        <f aca="false">IF($A961="","",IFERROR(INDEX(會員!$B$2:$B$2000,MATCH($A961,會員!$A$2:$A$2000,0)),"（沒建檔）"))</f>
        <v/>
      </c>
      <c r="G961" s="10" t="str">
        <f aca="false">IF($B961="","",IF($D961="","未還","已還"))</f>
        <v/>
      </c>
    </row>
    <row r="962" customFormat="false" ht="15" hidden="false" customHeight="false" outlineLevel="0" collapsed="false">
      <c r="E962" s="9" t="str">
        <f aca="false">IF($B962="","",IFERROR(INDEX(書籍!$B$2:$B$2000,MATCH($B962,書籍!$A$2:$A$2000,0)),"（沒建檔）"))</f>
        <v/>
      </c>
      <c r="F962" s="9" t="str">
        <f aca="false">IF($A962="","",IFERROR(INDEX(會員!$B$2:$B$2000,MATCH($A962,會員!$A$2:$A$2000,0)),"（沒建檔）"))</f>
        <v/>
      </c>
      <c r="G962" s="10" t="str">
        <f aca="false">IF($B962="","",IF($D962="","未還","已還"))</f>
        <v/>
      </c>
    </row>
    <row r="963" customFormat="false" ht="15" hidden="false" customHeight="false" outlineLevel="0" collapsed="false">
      <c r="E963" s="9" t="str">
        <f aca="false">IF($B963="","",IFERROR(INDEX(書籍!$B$2:$B$2000,MATCH($B963,書籍!$A$2:$A$2000,0)),"（沒建檔）"))</f>
        <v/>
      </c>
      <c r="F963" s="9" t="str">
        <f aca="false">IF($A963="","",IFERROR(INDEX(會員!$B$2:$B$2000,MATCH($A963,會員!$A$2:$A$2000,0)),"（沒建檔）"))</f>
        <v/>
      </c>
      <c r="G963" s="10" t="str">
        <f aca="false">IF($B963="","",IF($D963="","未還","已還"))</f>
        <v/>
      </c>
    </row>
    <row r="964" customFormat="false" ht="15" hidden="false" customHeight="false" outlineLevel="0" collapsed="false">
      <c r="E964" s="9" t="str">
        <f aca="false">IF($B964="","",IFERROR(INDEX(書籍!$B$2:$B$2000,MATCH($B964,書籍!$A$2:$A$2000,0)),"（沒建檔）"))</f>
        <v/>
      </c>
      <c r="F964" s="9" t="str">
        <f aca="false">IF($A964="","",IFERROR(INDEX(會員!$B$2:$B$2000,MATCH($A964,會員!$A$2:$A$2000,0)),"（沒建檔）"))</f>
        <v/>
      </c>
      <c r="G964" s="10" t="str">
        <f aca="false">IF($B964="","",IF($D964="","未還","已還"))</f>
        <v/>
      </c>
    </row>
    <row r="965" customFormat="false" ht="15" hidden="false" customHeight="false" outlineLevel="0" collapsed="false">
      <c r="E965" s="9" t="str">
        <f aca="false">IF($B965="","",IFERROR(INDEX(書籍!$B$2:$B$2000,MATCH($B965,書籍!$A$2:$A$2000,0)),"（沒建檔）"))</f>
        <v/>
      </c>
      <c r="F965" s="9" t="str">
        <f aca="false">IF($A965="","",IFERROR(INDEX(會員!$B$2:$B$2000,MATCH($A965,會員!$A$2:$A$2000,0)),"（沒建檔）"))</f>
        <v/>
      </c>
      <c r="G965" s="10" t="str">
        <f aca="false">IF($B965="","",IF($D965="","未還","已還"))</f>
        <v/>
      </c>
    </row>
    <row r="966" customFormat="false" ht="15" hidden="false" customHeight="false" outlineLevel="0" collapsed="false">
      <c r="E966" s="9" t="str">
        <f aca="false">IF($B966="","",IFERROR(INDEX(書籍!$B$2:$B$2000,MATCH($B966,書籍!$A$2:$A$2000,0)),"（沒建檔）"))</f>
        <v/>
      </c>
      <c r="F966" s="9" t="str">
        <f aca="false">IF($A966="","",IFERROR(INDEX(會員!$B$2:$B$2000,MATCH($A966,會員!$A$2:$A$2000,0)),"（沒建檔）"))</f>
        <v/>
      </c>
      <c r="G966" s="10" t="str">
        <f aca="false">IF($B966="","",IF($D966="","未還","已還"))</f>
        <v/>
      </c>
    </row>
    <row r="967" customFormat="false" ht="15" hidden="false" customHeight="false" outlineLevel="0" collapsed="false">
      <c r="E967" s="9" t="str">
        <f aca="false">IF($B967="","",IFERROR(INDEX(書籍!$B$2:$B$2000,MATCH($B967,書籍!$A$2:$A$2000,0)),"（沒建檔）"))</f>
        <v/>
      </c>
      <c r="F967" s="9" t="str">
        <f aca="false">IF($A967="","",IFERROR(INDEX(會員!$B$2:$B$2000,MATCH($A967,會員!$A$2:$A$2000,0)),"（沒建檔）"))</f>
        <v/>
      </c>
      <c r="G967" s="10" t="str">
        <f aca="false">IF($B967="","",IF($D967="","未還","已還"))</f>
        <v/>
      </c>
    </row>
    <row r="968" customFormat="false" ht="15" hidden="false" customHeight="false" outlineLevel="0" collapsed="false">
      <c r="E968" s="9" t="str">
        <f aca="false">IF($B968="","",IFERROR(INDEX(書籍!$B$2:$B$2000,MATCH($B968,書籍!$A$2:$A$2000,0)),"（沒建檔）"))</f>
        <v/>
      </c>
      <c r="F968" s="9" t="str">
        <f aca="false">IF($A968="","",IFERROR(INDEX(會員!$B$2:$B$2000,MATCH($A968,會員!$A$2:$A$2000,0)),"（沒建檔）"))</f>
        <v/>
      </c>
      <c r="G968" s="10" t="str">
        <f aca="false">IF($B968="","",IF($D968="","未還","已還"))</f>
        <v/>
      </c>
    </row>
    <row r="969" customFormat="false" ht="15" hidden="false" customHeight="false" outlineLevel="0" collapsed="false">
      <c r="E969" s="9" t="str">
        <f aca="false">IF($B969="","",IFERROR(INDEX(書籍!$B$2:$B$2000,MATCH($B969,書籍!$A$2:$A$2000,0)),"（沒建檔）"))</f>
        <v/>
      </c>
      <c r="F969" s="9" t="str">
        <f aca="false">IF($A969="","",IFERROR(INDEX(會員!$B$2:$B$2000,MATCH($A969,會員!$A$2:$A$2000,0)),"（沒建檔）"))</f>
        <v/>
      </c>
      <c r="G969" s="10" t="str">
        <f aca="false">IF($B969="","",IF($D969="","未還","已還"))</f>
        <v/>
      </c>
    </row>
    <row r="970" customFormat="false" ht="15" hidden="false" customHeight="false" outlineLevel="0" collapsed="false">
      <c r="E970" s="9" t="str">
        <f aca="false">IF($B970="","",IFERROR(INDEX(書籍!$B$2:$B$2000,MATCH($B970,書籍!$A$2:$A$2000,0)),"（沒建檔）"))</f>
        <v/>
      </c>
      <c r="F970" s="9" t="str">
        <f aca="false">IF($A970="","",IFERROR(INDEX(會員!$B$2:$B$2000,MATCH($A970,會員!$A$2:$A$2000,0)),"（沒建檔）"))</f>
        <v/>
      </c>
      <c r="G970" s="10" t="str">
        <f aca="false">IF($B970="","",IF($D970="","未還","已還"))</f>
        <v/>
      </c>
    </row>
    <row r="971" customFormat="false" ht="15" hidden="false" customHeight="false" outlineLevel="0" collapsed="false">
      <c r="E971" s="9" t="str">
        <f aca="false">IF($B971="","",IFERROR(INDEX(書籍!$B$2:$B$2000,MATCH($B971,書籍!$A$2:$A$2000,0)),"（沒建檔）"))</f>
        <v/>
      </c>
      <c r="F971" s="9" t="str">
        <f aca="false">IF($A971="","",IFERROR(INDEX(會員!$B$2:$B$2000,MATCH($A971,會員!$A$2:$A$2000,0)),"（沒建檔）"))</f>
        <v/>
      </c>
      <c r="G971" s="10" t="str">
        <f aca="false">IF($B971="","",IF($D971="","未還","已還"))</f>
        <v/>
      </c>
    </row>
    <row r="972" customFormat="false" ht="15" hidden="false" customHeight="false" outlineLevel="0" collapsed="false">
      <c r="E972" s="9" t="str">
        <f aca="false">IF($B972="","",IFERROR(INDEX(書籍!$B$2:$B$2000,MATCH($B972,書籍!$A$2:$A$2000,0)),"（沒建檔）"))</f>
        <v/>
      </c>
      <c r="F972" s="9" t="str">
        <f aca="false">IF($A972="","",IFERROR(INDEX(會員!$B$2:$B$2000,MATCH($A972,會員!$A$2:$A$2000,0)),"（沒建檔）"))</f>
        <v/>
      </c>
      <c r="G972" s="10" t="str">
        <f aca="false">IF($B972="","",IF($D972="","未還","已還"))</f>
        <v/>
      </c>
    </row>
    <row r="973" customFormat="false" ht="15" hidden="false" customHeight="false" outlineLevel="0" collapsed="false">
      <c r="E973" s="9" t="str">
        <f aca="false">IF($B973="","",IFERROR(INDEX(書籍!$B$2:$B$2000,MATCH($B973,書籍!$A$2:$A$2000,0)),"（沒建檔）"))</f>
        <v/>
      </c>
      <c r="F973" s="9" t="str">
        <f aca="false">IF($A973="","",IFERROR(INDEX(會員!$B$2:$B$2000,MATCH($A973,會員!$A$2:$A$2000,0)),"（沒建檔）"))</f>
        <v/>
      </c>
      <c r="G973" s="10" t="str">
        <f aca="false">IF($B973="","",IF($D973="","未還","已還"))</f>
        <v/>
      </c>
    </row>
    <row r="974" customFormat="false" ht="15" hidden="false" customHeight="false" outlineLevel="0" collapsed="false">
      <c r="E974" s="9" t="str">
        <f aca="false">IF($B974="","",IFERROR(INDEX(書籍!$B$2:$B$2000,MATCH($B974,書籍!$A$2:$A$2000,0)),"（沒建檔）"))</f>
        <v/>
      </c>
      <c r="F974" s="9" t="str">
        <f aca="false">IF($A974="","",IFERROR(INDEX(會員!$B$2:$B$2000,MATCH($A974,會員!$A$2:$A$2000,0)),"（沒建檔）"))</f>
        <v/>
      </c>
      <c r="G974" s="10" t="str">
        <f aca="false">IF($B974="","",IF($D974="","未還","已還"))</f>
        <v/>
      </c>
    </row>
    <row r="975" customFormat="false" ht="15" hidden="false" customHeight="false" outlineLevel="0" collapsed="false">
      <c r="E975" s="9" t="str">
        <f aca="false">IF($B975="","",IFERROR(INDEX(書籍!$B$2:$B$2000,MATCH($B975,書籍!$A$2:$A$2000,0)),"（沒建檔）"))</f>
        <v/>
      </c>
      <c r="F975" s="9" t="str">
        <f aca="false">IF($A975="","",IFERROR(INDEX(會員!$B$2:$B$2000,MATCH($A975,會員!$A$2:$A$2000,0)),"（沒建檔）"))</f>
        <v/>
      </c>
      <c r="G975" s="10" t="str">
        <f aca="false">IF($B975="","",IF($D975="","未還","已還"))</f>
        <v/>
      </c>
    </row>
    <row r="976" customFormat="false" ht="15" hidden="false" customHeight="false" outlineLevel="0" collapsed="false">
      <c r="E976" s="9" t="str">
        <f aca="false">IF($B976="","",IFERROR(INDEX(書籍!$B$2:$B$2000,MATCH($B976,書籍!$A$2:$A$2000,0)),"（沒建檔）"))</f>
        <v/>
      </c>
      <c r="F976" s="9" t="str">
        <f aca="false">IF($A976="","",IFERROR(INDEX(會員!$B$2:$B$2000,MATCH($A976,會員!$A$2:$A$2000,0)),"（沒建檔）"))</f>
        <v/>
      </c>
      <c r="G976" s="10" t="str">
        <f aca="false">IF($B976="","",IF($D976="","未還","已還"))</f>
        <v/>
      </c>
    </row>
    <row r="977" customFormat="false" ht="15" hidden="false" customHeight="false" outlineLevel="0" collapsed="false">
      <c r="E977" s="9" t="str">
        <f aca="false">IF($B977="","",IFERROR(INDEX(書籍!$B$2:$B$2000,MATCH($B977,書籍!$A$2:$A$2000,0)),"（沒建檔）"))</f>
        <v/>
      </c>
      <c r="F977" s="9" t="str">
        <f aca="false">IF($A977="","",IFERROR(INDEX(會員!$B$2:$B$2000,MATCH($A977,會員!$A$2:$A$2000,0)),"（沒建檔）"))</f>
        <v/>
      </c>
      <c r="G977" s="10" t="str">
        <f aca="false">IF($B977="","",IF($D977="","未還","已還"))</f>
        <v/>
      </c>
    </row>
    <row r="978" customFormat="false" ht="15" hidden="false" customHeight="false" outlineLevel="0" collapsed="false">
      <c r="E978" s="9" t="str">
        <f aca="false">IF($B978="","",IFERROR(INDEX(書籍!$B$2:$B$2000,MATCH($B978,書籍!$A$2:$A$2000,0)),"（沒建檔）"))</f>
        <v/>
      </c>
      <c r="F978" s="9" t="str">
        <f aca="false">IF($A978="","",IFERROR(INDEX(會員!$B$2:$B$2000,MATCH($A978,會員!$A$2:$A$2000,0)),"（沒建檔）"))</f>
        <v/>
      </c>
      <c r="G978" s="10" t="str">
        <f aca="false">IF($B978="","",IF($D978="","未還","已還"))</f>
        <v/>
      </c>
    </row>
    <row r="979" customFormat="false" ht="15" hidden="false" customHeight="false" outlineLevel="0" collapsed="false">
      <c r="E979" s="9" t="str">
        <f aca="false">IF($B979="","",IFERROR(INDEX(書籍!$B$2:$B$2000,MATCH($B979,書籍!$A$2:$A$2000,0)),"（沒建檔）"))</f>
        <v/>
      </c>
      <c r="F979" s="9" t="str">
        <f aca="false">IF($A979="","",IFERROR(INDEX(會員!$B$2:$B$2000,MATCH($A979,會員!$A$2:$A$2000,0)),"（沒建檔）"))</f>
        <v/>
      </c>
      <c r="G979" s="10" t="str">
        <f aca="false">IF($B979="","",IF($D979="","未還","已還"))</f>
        <v/>
      </c>
    </row>
    <row r="980" customFormat="false" ht="15" hidden="false" customHeight="false" outlineLevel="0" collapsed="false">
      <c r="E980" s="9" t="str">
        <f aca="false">IF($B980="","",IFERROR(INDEX(書籍!$B$2:$B$2000,MATCH($B980,書籍!$A$2:$A$2000,0)),"（沒建檔）"))</f>
        <v/>
      </c>
      <c r="F980" s="9" t="str">
        <f aca="false">IF($A980="","",IFERROR(INDEX(會員!$B$2:$B$2000,MATCH($A980,會員!$A$2:$A$2000,0)),"（沒建檔）"))</f>
        <v/>
      </c>
      <c r="G980" s="10" t="str">
        <f aca="false">IF($B980="","",IF($D980="","未還","已還"))</f>
        <v/>
      </c>
    </row>
    <row r="981" customFormat="false" ht="15" hidden="false" customHeight="false" outlineLevel="0" collapsed="false">
      <c r="E981" s="9" t="str">
        <f aca="false">IF($B981="","",IFERROR(INDEX(書籍!$B$2:$B$2000,MATCH($B981,書籍!$A$2:$A$2000,0)),"（沒建檔）"))</f>
        <v/>
      </c>
      <c r="F981" s="9" t="str">
        <f aca="false">IF($A981="","",IFERROR(INDEX(會員!$B$2:$B$2000,MATCH($A981,會員!$A$2:$A$2000,0)),"（沒建檔）"))</f>
        <v/>
      </c>
      <c r="G981" s="10" t="str">
        <f aca="false">IF($B981="","",IF($D981="","未還","已還"))</f>
        <v/>
      </c>
    </row>
    <row r="982" customFormat="false" ht="15" hidden="false" customHeight="false" outlineLevel="0" collapsed="false">
      <c r="E982" s="9" t="str">
        <f aca="false">IF($B982="","",IFERROR(INDEX(書籍!$B$2:$B$2000,MATCH($B982,書籍!$A$2:$A$2000,0)),"（沒建檔）"))</f>
        <v/>
      </c>
      <c r="F982" s="9" t="str">
        <f aca="false">IF($A982="","",IFERROR(INDEX(會員!$B$2:$B$2000,MATCH($A982,會員!$A$2:$A$2000,0)),"（沒建檔）"))</f>
        <v/>
      </c>
      <c r="G982" s="10" t="str">
        <f aca="false">IF($B982="","",IF($D982="","未還","已還"))</f>
        <v/>
      </c>
    </row>
    <row r="983" customFormat="false" ht="15" hidden="false" customHeight="false" outlineLevel="0" collapsed="false">
      <c r="E983" s="9" t="str">
        <f aca="false">IF($B983="","",IFERROR(INDEX(書籍!$B$2:$B$2000,MATCH($B983,書籍!$A$2:$A$2000,0)),"（沒建檔）"))</f>
        <v/>
      </c>
      <c r="F983" s="9" t="str">
        <f aca="false">IF($A983="","",IFERROR(INDEX(會員!$B$2:$B$2000,MATCH($A983,會員!$A$2:$A$2000,0)),"（沒建檔）"))</f>
        <v/>
      </c>
      <c r="G983" s="10" t="str">
        <f aca="false">IF($B983="","",IF($D983="","未還","已還"))</f>
        <v/>
      </c>
    </row>
    <row r="984" customFormat="false" ht="15" hidden="false" customHeight="false" outlineLevel="0" collapsed="false">
      <c r="E984" s="9" t="str">
        <f aca="false">IF($B984="","",IFERROR(INDEX(書籍!$B$2:$B$2000,MATCH($B984,書籍!$A$2:$A$2000,0)),"（沒建檔）"))</f>
        <v/>
      </c>
      <c r="F984" s="9" t="str">
        <f aca="false">IF($A984="","",IFERROR(INDEX(會員!$B$2:$B$2000,MATCH($A984,會員!$A$2:$A$2000,0)),"（沒建檔）"))</f>
        <v/>
      </c>
      <c r="G984" s="10" t="str">
        <f aca="false">IF($B984="","",IF($D984="","未還","已還"))</f>
        <v/>
      </c>
    </row>
    <row r="985" customFormat="false" ht="15" hidden="false" customHeight="false" outlineLevel="0" collapsed="false">
      <c r="E985" s="9" t="str">
        <f aca="false">IF($B985="","",IFERROR(INDEX(書籍!$B$2:$B$2000,MATCH($B985,書籍!$A$2:$A$2000,0)),"（沒建檔）"))</f>
        <v/>
      </c>
      <c r="F985" s="9" t="str">
        <f aca="false">IF($A985="","",IFERROR(INDEX(會員!$B$2:$B$2000,MATCH($A985,會員!$A$2:$A$2000,0)),"（沒建檔）"))</f>
        <v/>
      </c>
      <c r="G985" s="10" t="str">
        <f aca="false">IF($B985="","",IF($D985="","未還","已還"))</f>
        <v/>
      </c>
    </row>
    <row r="986" customFormat="false" ht="15" hidden="false" customHeight="false" outlineLevel="0" collapsed="false">
      <c r="E986" s="9" t="str">
        <f aca="false">IF($B986="","",IFERROR(INDEX(書籍!$B$2:$B$2000,MATCH($B986,書籍!$A$2:$A$2000,0)),"（沒建檔）"))</f>
        <v/>
      </c>
      <c r="F986" s="9" t="str">
        <f aca="false">IF($A986="","",IFERROR(INDEX(會員!$B$2:$B$2000,MATCH($A986,會員!$A$2:$A$2000,0)),"（沒建檔）"))</f>
        <v/>
      </c>
      <c r="G986" s="10" t="str">
        <f aca="false">IF($B986="","",IF($D986="","未還","已還"))</f>
        <v/>
      </c>
    </row>
    <row r="987" customFormat="false" ht="15" hidden="false" customHeight="false" outlineLevel="0" collapsed="false">
      <c r="E987" s="9" t="str">
        <f aca="false">IF($B987="","",IFERROR(INDEX(書籍!$B$2:$B$2000,MATCH($B987,書籍!$A$2:$A$2000,0)),"（沒建檔）"))</f>
        <v/>
      </c>
      <c r="F987" s="9" t="str">
        <f aca="false">IF($A987="","",IFERROR(INDEX(會員!$B$2:$B$2000,MATCH($A987,會員!$A$2:$A$2000,0)),"（沒建檔）"))</f>
        <v/>
      </c>
      <c r="G987" s="10" t="str">
        <f aca="false">IF($B987="","",IF($D987="","未還","已還"))</f>
        <v/>
      </c>
    </row>
    <row r="988" customFormat="false" ht="15" hidden="false" customHeight="false" outlineLevel="0" collapsed="false">
      <c r="E988" s="9" t="str">
        <f aca="false">IF($B988="","",IFERROR(INDEX(書籍!$B$2:$B$2000,MATCH($B988,書籍!$A$2:$A$2000,0)),"（沒建檔）"))</f>
        <v/>
      </c>
      <c r="F988" s="9" t="str">
        <f aca="false">IF($A988="","",IFERROR(INDEX(會員!$B$2:$B$2000,MATCH($A988,會員!$A$2:$A$2000,0)),"（沒建檔）"))</f>
        <v/>
      </c>
      <c r="G988" s="10" t="str">
        <f aca="false">IF($B988="","",IF($D988="","未還","已還"))</f>
        <v/>
      </c>
    </row>
    <row r="989" customFormat="false" ht="15" hidden="false" customHeight="false" outlineLevel="0" collapsed="false">
      <c r="E989" s="9" t="str">
        <f aca="false">IF($B989="","",IFERROR(INDEX(書籍!$B$2:$B$2000,MATCH($B989,書籍!$A$2:$A$2000,0)),"（沒建檔）"))</f>
        <v/>
      </c>
      <c r="F989" s="9" t="str">
        <f aca="false">IF($A989="","",IFERROR(INDEX(會員!$B$2:$B$2000,MATCH($A989,會員!$A$2:$A$2000,0)),"（沒建檔）"))</f>
        <v/>
      </c>
      <c r="G989" s="10" t="str">
        <f aca="false">IF($B989="","",IF($D989="","未還","已還"))</f>
        <v/>
      </c>
    </row>
    <row r="990" customFormat="false" ht="15" hidden="false" customHeight="false" outlineLevel="0" collapsed="false">
      <c r="E990" s="9" t="str">
        <f aca="false">IF($B990="","",IFERROR(INDEX(書籍!$B$2:$B$2000,MATCH($B990,書籍!$A$2:$A$2000,0)),"（沒建檔）"))</f>
        <v/>
      </c>
      <c r="F990" s="9" t="str">
        <f aca="false">IF($A990="","",IFERROR(INDEX(會員!$B$2:$B$2000,MATCH($A990,會員!$A$2:$A$2000,0)),"（沒建檔）"))</f>
        <v/>
      </c>
      <c r="G990" s="10" t="str">
        <f aca="false">IF($B990="","",IF($D990="","未還","已還"))</f>
        <v/>
      </c>
    </row>
    <row r="991" customFormat="false" ht="15" hidden="false" customHeight="false" outlineLevel="0" collapsed="false">
      <c r="E991" s="9" t="str">
        <f aca="false">IF($B991="","",IFERROR(INDEX(書籍!$B$2:$B$2000,MATCH($B991,書籍!$A$2:$A$2000,0)),"（沒建檔）"))</f>
        <v/>
      </c>
      <c r="F991" s="9" t="str">
        <f aca="false">IF($A991="","",IFERROR(INDEX(會員!$B$2:$B$2000,MATCH($A991,會員!$A$2:$A$2000,0)),"（沒建檔）"))</f>
        <v/>
      </c>
      <c r="G991" s="10" t="str">
        <f aca="false">IF($B991="","",IF($D991="","未還","已還"))</f>
        <v/>
      </c>
    </row>
    <row r="992" customFormat="false" ht="15" hidden="false" customHeight="false" outlineLevel="0" collapsed="false">
      <c r="E992" s="9" t="str">
        <f aca="false">IF($B992="","",IFERROR(INDEX(書籍!$B$2:$B$2000,MATCH($B992,書籍!$A$2:$A$2000,0)),"（沒建檔）"))</f>
        <v/>
      </c>
      <c r="F992" s="9" t="str">
        <f aca="false">IF($A992="","",IFERROR(INDEX(會員!$B$2:$B$2000,MATCH($A992,會員!$A$2:$A$2000,0)),"（沒建檔）"))</f>
        <v/>
      </c>
      <c r="G992" s="10" t="str">
        <f aca="false">IF($B992="","",IF($D992="","未還","已還"))</f>
        <v/>
      </c>
    </row>
    <row r="993" customFormat="false" ht="15" hidden="false" customHeight="false" outlineLevel="0" collapsed="false">
      <c r="E993" s="9" t="str">
        <f aca="false">IF($B993="","",IFERROR(INDEX(書籍!$B$2:$B$2000,MATCH($B993,書籍!$A$2:$A$2000,0)),"（沒建檔）"))</f>
        <v/>
      </c>
      <c r="F993" s="9" t="str">
        <f aca="false">IF($A993="","",IFERROR(INDEX(會員!$B$2:$B$2000,MATCH($A993,會員!$A$2:$A$2000,0)),"（沒建檔）"))</f>
        <v/>
      </c>
      <c r="G993" s="10" t="str">
        <f aca="false">IF($B993="","",IF($D993="","未還","已還"))</f>
        <v/>
      </c>
    </row>
    <row r="994" customFormat="false" ht="15" hidden="false" customHeight="false" outlineLevel="0" collapsed="false">
      <c r="E994" s="9" t="str">
        <f aca="false">IF($B994="","",IFERROR(INDEX(書籍!$B$2:$B$2000,MATCH($B994,書籍!$A$2:$A$2000,0)),"（沒建檔）"))</f>
        <v/>
      </c>
      <c r="F994" s="9" t="str">
        <f aca="false">IF($A994="","",IFERROR(INDEX(會員!$B$2:$B$2000,MATCH($A994,會員!$A$2:$A$2000,0)),"（沒建檔）"))</f>
        <v/>
      </c>
      <c r="G994" s="10" t="str">
        <f aca="false">IF($B994="","",IF($D994="","未還","已還"))</f>
        <v/>
      </c>
    </row>
    <row r="995" customFormat="false" ht="15" hidden="false" customHeight="false" outlineLevel="0" collapsed="false">
      <c r="E995" s="9" t="str">
        <f aca="false">IF($B995="","",IFERROR(INDEX(書籍!$B$2:$B$2000,MATCH($B995,書籍!$A$2:$A$2000,0)),"（沒建檔）"))</f>
        <v/>
      </c>
      <c r="F995" s="9" t="str">
        <f aca="false">IF($A995="","",IFERROR(INDEX(會員!$B$2:$B$2000,MATCH($A995,會員!$A$2:$A$2000,0)),"（沒建檔）"))</f>
        <v/>
      </c>
      <c r="G995" s="10" t="str">
        <f aca="false">IF($B995="","",IF($D995="","未還","已還"))</f>
        <v/>
      </c>
    </row>
    <row r="996" customFormat="false" ht="15" hidden="false" customHeight="false" outlineLevel="0" collapsed="false">
      <c r="E996" s="9" t="str">
        <f aca="false">IF($B996="","",IFERROR(INDEX(書籍!$B$2:$B$2000,MATCH($B996,書籍!$A$2:$A$2000,0)),"（沒建檔）"))</f>
        <v/>
      </c>
      <c r="F996" s="9" t="str">
        <f aca="false">IF($A996="","",IFERROR(INDEX(會員!$B$2:$B$2000,MATCH($A996,會員!$A$2:$A$2000,0)),"（沒建檔）"))</f>
        <v/>
      </c>
      <c r="G996" s="10" t="str">
        <f aca="false">IF($B996="","",IF($D996="","未還","已還"))</f>
        <v/>
      </c>
    </row>
    <row r="997" customFormat="false" ht="15" hidden="false" customHeight="false" outlineLevel="0" collapsed="false">
      <c r="E997" s="9" t="str">
        <f aca="false">IF($B997="","",IFERROR(INDEX(書籍!$B$2:$B$2000,MATCH($B997,書籍!$A$2:$A$2000,0)),"（沒建檔）"))</f>
        <v/>
      </c>
      <c r="F997" s="9" t="str">
        <f aca="false">IF($A997="","",IFERROR(INDEX(會員!$B$2:$B$2000,MATCH($A997,會員!$A$2:$A$2000,0)),"（沒建檔）"))</f>
        <v/>
      </c>
      <c r="G997" s="10" t="str">
        <f aca="false">IF($B997="","",IF($D997="","未還","已還"))</f>
        <v/>
      </c>
    </row>
    <row r="998" customFormat="false" ht="15" hidden="false" customHeight="false" outlineLevel="0" collapsed="false">
      <c r="E998" s="9" t="str">
        <f aca="false">IF($B998="","",IFERROR(INDEX(書籍!$B$2:$B$2000,MATCH($B998,書籍!$A$2:$A$2000,0)),"（沒建檔）"))</f>
        <v/>
      </c>
      <c r="F998" s="9" t="str">
        <f aca="false">IF($A998="","",IFERROR(INDEX(會員!$B$2:$B$2000,MATCH($A998,會員!$A$2:$A$2000,0)),"（沒建檔）"))</f>
        <v/>
      </c>
      <c r="G998" s="10" t="str">
        <f aca="false">IF($B998="","",IF($D998="","未還","已還"))</f>
        <v/>
      </c>
    </row>
    <row r="999" customFormat="false" ht="15" hidden="false" customHeight="false" outlineLevel="0" collapsed="false">
      <c r="E999" s="9" t="str">
        <f aca="false">IF($B999="","",IFERROR(INDEX(書籍!$B$2:$B$2000,MATCH($B999,書籍!$A$2:$A$2000,0)),"（沒建檔）"))</f>
        <v/>
      </c>
      <c r="F999" s="9" t="str">
        <f aca="false">IF($A999="","",IFERROR(INDEX(會員!$B$2:$B$2000,MATCH($A999,會員!$A$2:$A$2000,0)),"（沒建檔）"))</f>
        <v/>
      </c>
      <c r="G999" s="10" t="str">
        <f aca="false">IF($B999="","",IF($D999="","未還","已還"))</f>
        <v/>
      </c>
    </row>
    <row r="1000" customFormat="false" ht="15" hidden="false" customHeight="false" outlineLevel="0" collapsed="false">
      <c r="E1000" s="9" t="str">
        <f aca="false">IF($B1000="","",IFERROR(INDEX(書籍!$B$2:$B$2000,MATCH($B1000,書籍!$A$2:$A$2000,0)),"（沒建檔）"))</f>
        <v/>
      </c>
      <c r="F1000" s="9" t="str">
        <f aca="false">IF($A1000="","",IFERROR(INDEX(會員!$B$2:$B$2000,MATCH($A1000,會員!$A$2:$A$2000,0)),"（沒建檔）"))</f>
        <v/>
      </c>
      <c r="G1000" s="10" t="str">
        <f aca="false">IF($B1000="","",IF($D1000="","未還","已還"))</f>
        <v/>
      </c>
    </row>
    <row r="1001" customFormat="false" ht="15" hidden="false" customHeight="false" outlineLevel="0" collapsed="false">
      <c r="E1001" s="9" t="str">
        <f aca="false">IF($B1001="","",IFERROR(INDEX(書籍!$B$2:$B$2000,MATCH($B1001,書籍!$A$2:$A$2000,0)),"（沒建檔）"))</f>
        <v/>
      </c>
      <c r="F1001" s="9" t="str">
        <f aca="false">IF($A1001="","",IFERROR(INDEX(會員!$B$2:$B$2000,MATCH($A1001,會員!$A$2:$A$2000,0)),"（沒建檔）"))</f>
        <v/>
      </c>
      <c r="G1001" s="10" t="str">
        <f aca="false">IF($B1001="","",IF($D1001="","未還","已還"))</f>
        <v/>
      </c>
    </row>
    <row r="1002" customFormat="false" ht="15" hidden="false" customHeight="false" outlineLevel="0" collapsed="false">
      <c r="E1002" s="9" t="str">
        <f aca="false">IF($B1002="","",IFERROR(INDEX(書籍!$B$2:$B$2000,MATCH($B1002,書籍!$A$2:$A$2000,0)),"（沒建檔）"))</f>
        <v/>
      </c>
      <c r="F1002" s="9" t="str">
        <f aca="false">IF($A1002="","",IFERROR(INDEX(會員!$B$2:$B$2000,MATCH($A1002,會員!$A$2:$A$2000,0)),"（沒建檔）"))</f>
        <v/>
      </c>
      <c r="G1002" s="10" t="str">
        <f aca="false">IF($B1002="","",IF($D1002="","未還","已還"))</f>
        <v/>
      </c>
    </row>
    <row r="1003" customFormat="false" ht="15" hidden="false" customHeight="false" outlineLevel="0" collapsed="false">
      <c r="E1003" s="9" t="str">
        <f aca="false">IF($B1003="","",IFERROR(INDEX(書籍!$B$2:$B$2000,MATCH($B1003,書籍!$A$2:$A$2000,0)),"（沒建檔）"))</f>
        <v/>
      </c>
      <c r="F1003" s="9" t="str">
        <f aca="false">IF($A1003="","",IFERROR(INDEX(會員!$B$2:$B$2000,MATCH($A1003,會員!$A$2:$A$2000,0)),"（沒建檔）"))</f>
        <v/>
      </c>
      <c r="G1003" s="10" t="str">
        <f aca="false">IF($B1003="","",IF($D1003="","未還","已還"))</f>
        <v/>
      </c>
    </row>
    <row r="1004" customFormat="false" ht="15" hidden="false" customHeight="false" outlineLevel="0" collapsed="false">
      <c r="E1004" s="9" t="str">
        <f aca="false">IF($B1004="","",IFERROR(INDEX(書籍!$B$2:$B$2000,MATCH($B1004,書籍!$A$2:$A$2000,0)),"（沒建檔）"))</f>
        <v/>
      </c>
      <c r="F1004" s="9" t="str">
        <f aca="false">IF($A1004="","",IFERROR(INDEX(會員!$B$2:$B$2000,MATCH($A1004,會員!$A$2:$A$2000,0)),"（沒建檔）"))</f>
        <v/>
      </c>
      <c r="G1004" s="10" t="str">
        <f aca="false">IF($B1004="","",IF($D1004="","未還","已還"))</f>
        <v/>
      </c>
    </row>
    <row r="1005" customFormat="false" ht="15" hidden="false" customHeight="false" outlineLevel="0" collapsed="false">
      <c r="E1005" s="9" t="str">
        <f aca="false">IF($B1005="","",IFERROR(INDEX(書籍!$B$2:$B$2000,MATCH($B1005,書籍!$A$2:$A$2000,0)),"（沒建檔）"))</f>
        <v/>
      </c>
      <c r="F1005" s="9" t="str">
        <f aca="false">IF($A1005="","",IFERROR(INDEX(會員!$B$2:$B$2000,MATCH($A1005,會員!$A$2:$A$2000,0)),"（沒建檔）"))</f>
        <v/>
      </c>
      <c r="G1005" s="10" t="str">
        <f aca="false">IF($B1005="","",IF($D1005="","未還","已還"))</f>
        <v/>
      </c>
    </row>
    <row r="1006" customFormat="false" ht="15" hidden="false" customHeight="false" outlineLevel="0" collapsed="false">
      <c r="E1006" s="9" t="str">
        <f aca="false">IF($B1006="","",IFERROR(INDEX(書籍!$B$2:$B$2000,MATCH($B1006,書籍!$A$2:$A$2000,0)),"（沒建檔）"))</f>
        <v/>
      </c>
      <c r="F1006" s="9" t="str">
        <f aca="false">IF($A1006="","",IFERROR(INDEX(會員!$B$2:$B$2000,MATCH($A1006,會員!$A$2:$A$2000,0)),"（沒建檔）"))</f>
        <v/>
      </c>
      <c r="G1006" s="10" t="str">
        <f aca="false">IF($B1006="","",IF($D1006="","未還","已還"))</f>
        <v/>
      </c>
    </row>
    <row r="1007" customFormat="false" ht="15" hidden="false" customHeight="false" outlineLevel="0" collapsed="false">
      <c r="E1007" s="9" t="str">
        <f aca="false">IF($B1007="","",IFERROR(INDEX(書籍!$B$2:$B$2000,MATCH($B1007,書籍!$A$2:$A$2000,0)),"（沒建檔）"))</f>
        <v/>
      </c>
      <c r="F1007" s="9" t="str">
        <f aca="false">IF($A1007="","",IFERROR(INDEX(會員!$B$2:$B$2000,MATCH($A1007,會員!$A$2:$A$2000,0)),"（沒建檔）"))</f>
        <v/>
      </c>
      <c r="G1007" s="10" t="str">
        <f aca="false">IF($B1007="","",IF($D1007="","未還","已還"))</f>
        <v/>
      </c>
    </row>
    <row r="1008" customFormat="false" ht="15" hidden="false" customHeight="false" outlineLevel="0" collapsed="false">
      <c r="E1008" s="9" t="str">
        <f aca="false">IF($B1008="","",IFERROR(INDEX(書籍!$B$2:$B$2000,MATCH($B1008,書籍!$A$2:$A$2000,0)),"（沒建檔）"))</f>
        <v/>
      </c>
      <c r="F1008" s="9" t="str">
        <f aca="false">IF($A1008="","",IFERROR(INDEX(會員!$B$2:$B$2000,MATCH($A1008,會員!$A$2:$A$2000,0)),"（沒建檔）"))</f>
        <v/>
      </c>
      <c r="G1008" s="10" t="str">
        <f aca="false">IF($B1008="","",IF($D1008="","未還","已還"))</f>
        <v/>
      </c>
    </row>
    <row r="1009" customFormat="false" ht="15" hidden="false" customHeight="false" outlineLevel="0" collapsed="false">
      <c r="E1009" s="9" t="str">
        <f aca="false">IF($B1009="","",IFERROR(INDEX(書籍!$B$2:$B$2000,MATCH($B1009,書籍!$A$2:$A$2000,0)),"（沒建檔）"))</f>
        <v/>
      </c>
      <c r="F1009" s="9" t="str">
        <f aca="false">IF($A1009="","",IFERROR(INDEX(會員!$B$2:$B$2000,MATCH($A1009,會員!$A$2:$A$2000,0)),"（沒建檔）"))</f>
        <v/>
      </c>
      <c r="G1009" s="10" t="str">
        <f aca="false">IF($B1009="","",IF($D1009="","未還","已還"))</f>
        <v/>
      </c>
    </row>
    <row r="1010" customFormat="false" ht="15" hidden="false" customHeight="false" outlineLevel="0" collapsed="false">
      <c r="E1010" s="9" t="str">
        <f aca="false">IF($B1010="","",IFERROR(INDEX(書籍!$B$2:$B$2000,MATCH($B1010,書籍!$A$2:$A$2000,0)),"（沒建檔）"))</f>
        <v/>
      </c>
      <c r="F1010" s="9" t="str">
        <f aca="false">IF($A1010="","",IFERROR(INDEX(會員!$B$2:$B$2000,MATCH($A1010,會員!$A$2:$A$2000,0)),"（沒建檔）"))</f>
        <v/>
      </c>
      <c r="G1010" s="10" t="str">
        <f aca="false">IF($B1010="","",IF($D1010="","未還","已還"))</f>
        <v/>
      </c>
    </row>
    <row r="1011" customFormat="false" ht="15" hidden="false" customHeight="false" outlineLevel="0" collapsed="false">
      <c r="E1011" s="9" t="str">
        <f aca="false">IF($B1011="","",IFERROR(INDEX(書籍!$B$2:$B$2000,MATCH($B1011,書籍!$A$2:$A$2000,0)),"（沒建檔）"))</f>
        <v/>
      </c>
      <c r="F1011" s="9" t="str">
        <f aca="false">IF($A1011="","",IFERROR(INDEX(會員!$B$2:$B$2000,MATCH($A1011,會員!$A$2:$A$2000,0)),"（沒建檔）"))</f>
        <v/>
      </c>
      <c r="G1011" s="10" t="str">
        <f aca="false">IF($B1011="","",IF($D1011="","未還","已還"))</f>
        <v/>
      </c>
    </row>
    <row r="1012" customFormat="false" ht="15" hidden="false" customHeight="false" outlineLevel="0" collapsed="false">
      <c r="E1012" s="9" t="str">
        <f aca="false">IF($B1012="","",IFERROR(INDEX(書籍!$B$2:$B$2000,MATCH($B1012,書籍!$A$2:$A$2000,0)),"（沒建檔）"))</f>
        <v/>
      </c>
      <c r="F1012" s="9" t="str">
        <f aca="false">IF($A1012="","",IFERROR(INDEX(會員!$B$2:$B$2000,MATCH($A1012,會員!$A$2:$A$2000,0)),"（沒建檔）"))</f>
        <v/>
      </c>
      <c r="G1012" s="10" t="str">
        <f aca="false">IF($B1012="","",IF($D1012="","未還","已還"))</f>
        <v/>
      </c>
    </row>
    <row r="1013" customFormat="false" ht="15" hidden="false" customHeight="false" outlineLevel="0" collapsed="false">
      <c r="E1013" s="9" t="str">
        <f aca="false">IF($B1013="","",IFERROR(INDEX(書籍!$B$2:$B$2000,MATCH($B1013,書籍!$A$2:$A$2000,0)),"（沒建檔）"))</f>
        <v/>
      </c>
      <c r="F1013" s="9" t="str">
        <f aca="false">IF($A1013="","",IFERROR(INDEX(會員!$B$2:$B$2000,MATCH($A1013,會員!$A$2:$A$2000,0)),"（沒建檔）"))</f>
        <v/>
      </c>
      <c r="G1013" s="10" t="str">
        <f aca="false">IF($B1013="","",IF($D1013="","未還","已還"))</f>
        <v/>
      </c>
    </row>
    <row r="1014" customFormat="false" ht="15" hidden="false" customHeight="false" outlineLevel="0" collapsed="false">
      <c r="E1014" s="9" t="str">
        <f aca="false">IF($B1014="","",IFERROR(INDEX(書籍!$B$2:$B$2000,MATCH($B1014,書籍!$A$2:$A$2000,0)),"（沒建檔）"))</f>
        <v/>
      </c>
      <c r="F1014" s="9" t="str">
        <f aca="false">IF($A1014="","",IFERROR(INDEX(會員!$B$2:$B$2000,MATCH($A1014,會員!$A$2:$A$2000,0)),"（沒建檔）"))</f>
        <v/>
      </c>
      <c r="G1014" s="10" t="str">
        <f aca="false">IF($B1014="","",IF($D1014="","未還","已還"))</f>
        <v/>
      </c>
    </row>
    <row r="1015" customFormat="false" ht="15" hidden="false" customHeight="false" outlineLevel="0" collapsed="false">
      <c r="E1015" s="9" t="str">
        <f aca="false">IF($B1015="","",IFERROR(INDEX(書籍!$B$2:$B$2000,MATCH($B1015,書籍!$A$2:$A$2000,0)),"（沒建檔）"))</f>
        <v/>
      </c>
      <c r="F1015" s="9" t="str">
        <f aca="false">IF($A1015="","",IFERROR(INDEX(會員!$B$2:$B$2000,MATCH($A1015,會員!$A$2:$A$2000,0)),"（沒建檔）"))</f>
        <v/>
      </c>
      <c r="G1015" s="10" t="str">
        <f aca="false">IF($B1015="","",IF($D1015="","未還","已還"))</f>
        <v/>
      </c>
    </row>
    <row r="1016" customFormat="false" ht="15" hidden="false" customHeight="false" outlineLevel="0" collapsed="false">
      <c r="E1016" s="9" t="str">
        <f aca="false">IF($B1016="","",IFERROR(INDEX(書籍!$B$2:$B$2000,MATCH($B1016,書籍!$A$2:$A$2000,0)),"（沒建檔）"))</f>
        <v/>
      </c>
      <c r="F1016" s="9" t="str">
        <f aca="false">IF($A1016="","",IFERROR(INDEX(會員!$B$2:$B$2000,MATCH($A1016,會員!$A$2:$A$2000,0)),"（沒建檔）"))</f>
        <v/>
      </c>
      <c r="G1016" s="10" t="str">
        <f aca="false">IF($B1016="","",IF($D1016="","未還","已還"))</f>
        <v/>
      </c>
    </row>
    <row r="1017" customFormat="false" ht="15" hidden="false" customHeight="false" outlineLevel="0" collapsed="false">
      <c r="E1017" s="9" t="str">
        <f aca="false">IF($B1017="","",IFERROR(INDEX(書籍!$B$2:$B$2000,MATCH($B1017,書籍!$A$2:$A$2000,0)),"（沒建檔）"))</f>
        <v/>
      </c>
      <c r="F1017" s="9" t="str">
        <f aca="false">IF($A1017="","",IFERROR(INDEX(會員!$B$2:$B$2000,MATCH($A1017,會員!$A$2:$A$2000,0)),"（沒建檔）"))</f>
        <v/>
      </c>
      <c r="G1017" s="10" t="str">
        <f aca="false">IF($B1017="","",IF($D1017="","未還","已還"))</f>
        <v/>
      </c>
    </row>
    <row r="1018" customFormat="false" ht="15" hidden="false" customHeight="false" outlineLevel="0" collapsed="false">
      <c r="E1018" s="9" t="str">
        <f aca="false">IF($B1018="","",IFERROR(INDEX(書籍!$B$2:$B$2000,MATCH($B1018,書籍!$A$2:$A$2000,0)),"（沒建檔）"))</f>
        <v/>
      </c>
      <c r="F1018" s="9" t="str">
        <f aca="false">IF($A1018="","",IFERROR(INDEX(會員!$B$2:$B$2000,MATCH($A1018,會員!$A$2:$A$2000,0)),"（沒建檔）"))</f>
        <v/>
      </c>
      <c r="G1018" s="10" t="str">
        <f aca="false">IF($B1018="","",IF($D1018="","未還","已還"))</f>
        <v/>
      </c>
    </row>
    <row r="1019" customFormat="false" ht="15" hidden="false" customHeight="false" outlineLevel="0" collapsed="false">
      <c r="E1019" s="9" t="str">
        <f aca="false">IF($B1019="","",IFERROR(INDEX(書籍!$B$2:$B$2000,MATCH($B1019,書籍!$A$2:$A$2000,0)),"（沒建檔）"))</f>
        <v/>
      </c>
      <c r="F1019" s="9" t="str">
        <f aca="false">IF($A1019="","",IFERROR(INDEX(會員!$B$2:$B$2000,MATCH($A1019,會員!$A$2:$A$2000,0)),"（沒建檔）"))</f>
        <v/>
      </c>
      <c r="G1019" s="10" t="str">
        <f aca="false">IF($B1019="","",IF($D1019="","未還","已還"))</f>
        <v/>
      </c>
    </row>
    <row r="1020" customFormat="false" ht="15" hidden="false" customHeight="false" outlineLevel="0" collapsed="false">
      <c r="E1020" s="9" t="str">
        <f aca="false">IF($B1020="","",IFERROR(INDEX(書籍!$B$2:$B$2000,MATCH($B1020,書籍!$A$2:$A$2000,0)),"（沒建檔）"))</f>
        <v/>
      </c>
      <c r="F1020" s="9" t="str">
        <f aca="false">IF($A1020="","",IFERROR(INDEX(會員!$B$2:$B$2000,MATCH($A1020,會員!$A$2:$A$2000,0)),"（沒建檔）"))</f>
        <v/>
      </c>
      <c r="G1020" s="10" t="str">
        <f aca="false">IF($B1020="","",IF($D1020="","未還","已還"))</f>
        <v/>
      </c>
    </row>
    <row r="1021" customFormat="false" ht="15" hidden="false" customHeight="false" outlineLevel="0" collapsed="false">
      <c r="E1021" s="9" t="str">
        <f aca="false">IF($B1021="","",IFERROR(INDEX(書籍!$B$2:$B$2000,MATCH($B1021,書籍!$A$2:$A$2000,0)),"（沒建檔）"))</f>
        <v/>
      </c>
      <c r="F1021" s="9" t="str">
        <f aca="false">IF($A1021="","",IFERROR(INDEX(會員!$B$2:$B$2000,MATCH($A1021,會員!$A$2:$A$2000,0)),"（沒建檔）"))</f>
        <v/>
      </c>
      <c r="G1021" s="10" t="str">
        <f aca="false">IF($B1021="","",IF($D1021="","未還","已還"))</f>
        <v/>
      </c>
    </row>
    <row r="1022" customFormat="false" ht="15" hidden="false" customHeight="false" outlineLevel="0" collapsed="false">
      <c r="E1022" s="9" t="str">
        <f aca="false">IF($B1022="","",IFERROR(INDEX(書籍!$B$2:$B$2000,MATCH($B1022,書籍!$A$2:$A$2000,0)),"（沒建檔）"))</f>
        <v/>
      </c>
      <c r="F1022" s="9" t="str">
        <f aca="false">IF($A1022="","",IFERROR(INDEX(會員!$B$2:$B$2000,MATCH($A1022,會員!$A$2:$A$2000,0)),"（沒建檔）"))</f>
        <v/>
      </c>
      <c r="G1022" s="10" t="str">
        <f aca="false">IF($B1022="","",IF($D1022="","未還","已還"))</f>
        <v/>
      </c>
    </row>
    <row r="1023" customFormat="false" ht="15" hidden="false" customHeight="false" outlineLevel="0" collapsed="false">
      <c r="E1023" s="9" t="str">
        <f aca="false">IF($B1023="","",IFERROR(INDEX(書籍!$B$2:$B$2000,MATCH($B1023,書籍!$A$2:$A$2000,0)),"（沒建檔）"))</f>
        <v/>
      </c>
      <c r="F1023" s="9" t="str">
        <f aca="false">IF($A1023="","",IFERROR(INDEX(會員!$B$2:$B$2000,MATCH($A1023,會員!$A$2:$A$2000,0)),"（沒建檔）"))</f>
        <v/>
      </c>
      <c r="G1023" s="10" t="str">
        <f aca="false">IF($B1023="","",IF($D1023="","未還","已還"))</f>
        <v/>
      </c>
    </row>
    <row r="1024" customFormat="false" ht="15" hidden="false" customHeight="false" outlineLevel="0" collapsed="false">
      <c r="E1024" s="9" t="str">
        <f aca="false">IF($B1024="","",IFERROR(INDEX(書籍!$B$2:$B$2000,MATCH($B1024,書籍!$A$2:$A$2000,0)),"（沒建檔）"))</f>
        <v/>
      </c>
      <c r="F1024" s="9" t="str">
        <f aca="false">IF($A1024="","",IFERROR(INDEX(會員!$B$2:$B$2000,MATCH($A1024,會員!$A$2:$A$2000,0)),"（沒建檔）"))</f>
        <v/>
      </c>
      <c r="G1024" s="10" t="str">
        <f aca="false">IF($B1024="","",IF($D1024="","未還","已還"))</f>
        <v/>
      </c>
    </row>
    <row r="1025" customFormat="false" ht="15" hidden="false" customHeight="false" outlineLevel="0" collapsed="false">
      <c r="E1025" s="9" t="str">
        <f aca="false">IF($B1025="","",IFERROR(INDEX(書籍!$B$2:$B$2000,MATCH($B1025,書籍!$A$2:$A$2000,0)),"（沒建檔）"))</f>
        <v/>
      </c>
      <c r="F1025" s="9" t="str">
        <f aca="false">IF($A1025="","",IFERROR(INDEX(會員!$B$2:$B$2000,MATCH($A1025,會員!$A$2:$A$2000,0)),"（沒建檔）"))</f>
        <v/>
      </c>
      <c r="G1025" s="10" t="str">
        <f aca="false">IF($B1025="","",IF($D1025="","未還","已還"))</f>
        <v/>
      </c>
    </row>
    <row r="1026" customFormat="false" ht="15" hidden="false" customHeight="false" outlineLevel="0" collapsed="false">
      <c r="E1026" s="9" t="str">
        <f aca="false">IF($B1026="","",IFERROR(INDEX(書籍!$B$2:$B$2000,MATCH($B1026,書籍!$A$2:$A$2000,0)),"（沒建檔）"))</f>
        <v/>
      </c>
      <c r="F1026" s="9" t="str">
        <f aca="false">IF($A1026="","",IFERROR(INDEX(會員!$B$2:$B$2000,MATCH($A1026,會員!$A$2:$A$2000,0)),"（沒建檔）"))</f>
        <v/>
      </c>
      <c r="G1026" s="10" t="str">
        <f aca="false">IF($B1026="","",IF($D1026="","未還","已還"))</f>
        <v/>
      </c>
    </row>
    <row r="1027" customFormat="false" ht="15" hidden="false" customHeight="false" outlineLevel="0" collapsed="false">
      <c r="E1027" s="9" t="str">
        <f aca="false">IF($B1027="","",IFERROR(INDEX(書籍!$B$2:$B$2000,MATCH($B1027,書籍!$A$2:$A$2000,0)),"（沒建檔）"))</f>
        <v/>
      </c>
      <c r="F1027" s="9" t="str">
        <f aca="false">IF($A1027="","",IFERROR(INDEX(會員!$B$2:$B$2000,MATCH($A1027,會員!$A$2:$A$2000,0)),"（沒建檔）"))</f>
        <v/>
      </c>
      <c r="G1027" s="10" t="str">
        <f aca="false">IF($B1027="","",IF($D1027="","未還","已還"))</f>
        <v/>
      </c>
    </row>
    <row r="1028" customFormat="false" ht="15" hidden="false" customHeight="false" outlineLevel="0" collapsed="false">
      <c r="E1028" s="9" t="str">
        <f aca="false">IF($B1028="","",IFERROR(INDEX(書籍!$B$2:$B$2000,MATCH($B1028,書籍!$A$2:$A$2000,0)),"（沒建檔）"))</f>
        <v/>
      </c>
      <c r="F1028" s="9" t="str">
        <f aca="false">IF($A1028="","",IFERROR(INDEX(會員!$B$2:$B$2000,MATCH($A1028,會員!$A$2:$A$2000,0)),"（沒建檔）"))</f>
        <v/>
      </c>
      <c r="G1028" s="10" t="str">
        <f aca="false">IF($B1028="","",IF($D1028="","未還","已還"))</f>
        <v/>
      </c>
    </row>
    <row r="1029" customFormat="false" ht="15" hidden="false" customHeight="false" outlineLevel="0" collapsed="false">
      <c r="E1029" s="9" t="str">
        <f aca="false">IF($B1029="","",IFERROR(INDEX(書籍!$B$2:$B$2000,MATCH($B1029,書籍!$A$2:$A$2000,0)),"（沒建檔）"))</f>
        <v/>
      </c>
      <c r="F1029" s="9" t="str">
        <f aca="false">IF($A1029="","",IFERROR(INDEX(會員!$B$2:$B$2000,MATCH($A1029,會員!$A$2:$A$2000,0)),"（沒建檔）"))</f>
        <v/>
      </c>
      <c r="G1029" s="10" t="str">
        <f aca="false">IF($B1029="","",IF($D1029="","未還","已還"))</f>
        <v/>
      </c>
    </row>
    <row r="1030" customFormat="false" ht="15" hidden="false" customHeight="false" outlineLevel="0" collapsed="false">
      <c r="E1030" s="9" t="str">
        <f aca="false">IF($B1030="","",IFERROR(INDEX(書籍!$B$2:$B$2000,MATCH($B1030,書籍!$A$2:$A$2000,0)),"（沒建檔）"))</f>
        <v/>
      </c>
      <c r="F1030" s="9" t="str">
        <f aca="false">IF($A1030="","",IFERROR(INDEX(會員!$B$2:$B$2000,MATCH($A1030,會員!$A$2:$A$2000,0)),"（沒建檔）"))</f>
        <v/>
      </c>
      <c r="G1030" s="10" t="str">
        <f aca="false">IF($B1030="","",IF($D1030="","未還","已還"))</f>
        <v/>
      </c>
    </row>
    <row r="1031" customFormat="false" ht="15" hidden="false" customHeight="false" outlineLevel="0" collapsed="false">
      <c r="E1031" s="9" t="str">
        <f aca="false">IF($B1031="","",IFERROR(INDEX(書籍!$B$2:$B$2000,MATCH($B1031,書籍!$A$2:$A$2000,0)),"（沒建檔）"))</f>
        <v/>
      </c>
      <c r="F1031" s="9" t="str">
        <f aca="false">IF($A1031="","",IFERROR(INDEX(會員!$B$2:$B$2000,MATCH($A1031,會員!$A$2:$A$2000,0)),"（沒建檔）"))</f>
        <v/>
      </c>
      <c r="G1031" s="10" t="str">
        <f aca="false">IF($B1031="","",IF($D1031="","未還","已還"))</f>
        <v/>
      </c>
    </row>
    <row r="1032" customFormat="false" ht="15" hidden="false" customHeight="false" outlineLevel="0" collapsed="false">
      <c r="E1032" s="9" t="str">
        <f aca="false">IF($B1032="","",IFERROR(INDEX(書籍!$B$2:$B$2000,MATCH($B1032,書籍!$A$2:$A$2000,0)),"（沒建檔）"))</f>
        <v/>
      </c>
      <c r="F1032" s="9" t="str">
        <f aca="false">IF($A1032="","",IFERROR(INDEX(會員!$B$2:$B$2000,MATCH($A1032,會員!$A$2:$A$2000,0)),"（沒建檔）"))</f>
        <v/>
      </c>
      <c r="G1032" s="10" t="str">
        <f aca="false">IF($B1032="","",IF($D1032="","未還","已還"))</f>
        <v/>
      </c>
    </row>
    <row r="1033" customFormat="false" ht="15" hidden="false" customHeight="false" outlineLevel="0" collapsed="false">
      <c r="E1033" s="9" t="str">
        <f aca="false">IF($B1033="","",IFERROR(INDEX(書籍!$B$2:$B$2000,MATCH($B1033,書籍!$A$2:$A$2000,0)),"（沒建檔）"))</f>
        <v/>
      </c>
      <c r="F1033" s="9" t="str">
        <f aca="false">IF($A1033="","",IFERROR(INDEX(會員!$B$2:$B$2000,MATCH($A1033,會員!$A$2:$A$2000,0)),"（沒建檔）"))</f>
        <v/>
      </c>
      <c r="G1033" s="10" t="str">
        <f aca="false">IF($B1033="","",IF($D1033="","未還","已還"))</f>
        <v/>
      </c>
    </row>
    <row r="1034" customFormat="false" ht="15" hidden="false" customHeight="false" outlineLevel="0" collapsed="false">
      <c r="E1034" s="9" t="str">
        <f aca="false">IF($B1034="","",IFERROR(INDEX(書籍!$B$2:$B$2000,MATCH($B1034,書籍!$A$2:$A$2000,0)),"（沒建檔）"))</f>
        <v/>
      </c>
      <c r="F1034" s="9" t="str">
        <f aca="false">IF($A1034="","",IFERROR(INDEX(會員!$B$2:$B$2000,MATCH($A1034,會員!$A$2:$A$2000,0)),"（沒建檔）"))</f>
        <v/>
      </c>
      <c r="G1034" s="10" t="str">
        <f aca="false">IF($B1034="","",IF($D1034="","未還","已還"))</f>
        <v/>
      </c>
    </row>
    <row r="1035" customFormat="false" ht="15" hidden="false" customHeight="false" outlineLevel="0" collapsed="false">
      <c r="E1035" s="9" t="str">
        <f aca="false">IF($B1035="","",IFERROR(INDEX(書籍!$B$2:$B$2000,MATCH($B1035,書籍!$A$2:$A$2000,0)),"（沒建檔）"))</f>
        <v/>
      </c>
      <c r="F1035" s="9" t="str">
        <f aca="false">IF($A1035="","",IFERROR(INDEX(會員!$B$2:$B$2000,MATCH($A1035,會員!$A$2:$A$2000,0)),"（沒建檔）"))</f>
        <v/>
      </c>
      <c r="G1035" s="10" t="str">
        <f aca="false">IF($B1035="","",IF($D1035="","未還","已還"))</f>
        <v/>
      </c>
    </row>
    <row r="1036" customFormat="false" ht="15" hidden="false" customHeight="false" outlineLevel="0" collapsed="false">
      <c r="E1036" s="9" t="str">
        <f aca="false">IF($B1036="","",IFERROR(INDEX(書籍!$B$2:$B$2000,MATCH($B1036,書籍!$A$2:$A$2000,0)),"（沒建檔）"))</f>
        <v/>
      </c>
      <c r="F1036" s="9" t="str">
        <f aca="false">IF($A1036="","",IFERROR(INDEX(會員!$B$2:$B$2000,MATCH($A1036,會員!$A$2:$A$2000,0)),"（沒建檔）"))</f>
        <v/>
      </c>
      <c r="G1036" s="10" t="str">
        <f aca="false">IF($B1036="","",IF($D1036="","未還","已還"))</f>
        <v/>
      </c>
    </row>
    <row r="1037" customFormat="false" ht="15" hidden="false" customHeight="false" outlineLevel="0" collapsed="false">
      <c r="E1037" s="9" t="str">
        <f aca="false">IF($B1037="","",IFERROR(INDEX(書籍!$B$2:$B$2000,MATCH($B1037,書籍!$A$2:$A$2000,0)),"（沒建檔）"))</f>
        <v/>
      </c>
      <c r="F1037" s="9" t="str">
        <f aca="false">IF($A1037="","",IFERROR(INDEX(會員!$B$2:$B$2000,MATCH($A1037,會員!$A$2:$A$2000,0)),"（沒建檔）"))</f>
        <v/>
      </c>
      <c r="G1037" s="10" t="str">
        <f aca="false">IF($B1037="","",IF($D1037="","未還","已還"))</f>
        <v/>
      </c>
    </row>
    <row r="1038" customFormat="false" ht="15" hidden="false" customHeight="false" outlineLevel="0" collapsed="false">
      <c r="E1038" s="9" t="str">
        <f aca="false">IF($B1038="","",IFERROR(INDEX(書籍!$B$2:$B$2000,MATCH($B1038,書籍!$A$2:$A$2000,0)),"（沒建檔）"))</f>
        <v/>
      </c>
      <c r="F1038" s="9" t="str">
        <f aca="false">IF($A1038="","",IFERROR(INDEX(會員!$B$2:$B$2000,MATCH($A1038,會員!$A$2:$A$2000,0)),"（沒建檔）"))</f>
        <v/>
      </c>
      <c r="G1038" s="10" t="str">
        <f aca="false">IF($B1038="","",IF($D1038="","未還","已還"))</f>
        <v/>
      </c>
    </row>
    <row r="1039" customFormat="false" ht="15" hidden="false" customHeight="false" outlineLevel="0" collapsed="false">
      <c r="E1039" s="9" t="str">
        <f aca="false">IF($B1039="","",IFERROR(INDEX(書籍!$B$2:$B$2000,MATCH($B1039,書籍!$A$2:$A$2000,0)),"（沒建檔）"))</f>
        <v/>
      </c>
      <c r="F1039" s="9" t="str">
        <f aca="false">IF($A1039="","",IFERROR(INDEX(會員!$B$2:$B$2000,MATCH($A1039,會員!$A$2:$A$2000,0)),"（沒建檔）"))</f>
        <v/>
      </c>
      <c r="G1039" s="10" t="str">
        <f aca="false">IF($B1039="","",IF($D1039="","未還","已還"))</f>
        <v/>
      </c>
    </row>
    <row r="1040" customFormat="false" ht="15" hidden="false" customHeight="false" outlineLevel="0" collapsed="false">
      <c r="E1040" s="9" t="str">
        <f aca="false">IF($B1040="","",IFERROR(INDEX(書籍!$B$2:$B$2000,MATCH($B1040,書籍!$A$2:$A$2000,0)),"（沒建檔）"))</f>
        <v/>
      </c>
      <c r="F1040" s="9" t="str">
        <f aca="false">IF($A1040="","",IFERROR(INDEX(會員!$B$2:$B$2000,MATCH($A1040,會員!$A$2:$A$2000,0)),"（沒建檔）"))</f>
        <v/>
      </c>
      <c r="G1040" s="10" t="str">
        <f aca="false">IF($B1040="","",IF($D1040="","未還","已還"))</f>
        <v/>
      </c>
    </row>
    <row r="1041" customFormat="false" ht="15" hidden="false" customHeight="false" outlineLevel="0" collapsed="false">
      <c r="E1041" s="9" t="str">
        <f aca="false">IF($B1041="","",IFERROR(INDEX(書籍!$B$2:$B$2000,MATCH($B1041,書籍!$A$2:$A$2000,0)),"（沒建檔）"))</f>
        <v/>
      </c>
      <c r="F1041" s="9" t="str">
        <f aca="false">IF($A1041="","",IFERROR(INDEX(會員!$B$2:$B$2000,MATCH($A1041,會員!$A$2:$A$2000,0)),"（沒建檔）"))</f>
        <v/>
      </c>
      <c r="G1041" s="10" t="str">
        <f aca="false">IF($B1041="","",IF($D1041="","未還","已還"))</f>
        <v/>
      </c>
    </row>
    <row r="1042" customFormat="false" ht="15" hidden="false" customHeight="false" outlineLevel="0" collapsed="false">
      <c r="E1042" s="9" t="str">
        <f aca="false">IF($B1042="","",IFERROR(INDEX(書籍!$B$2:$B$2000,MATCH($B1042,書籍!$A$2:$A$2000,0)),"（沒建檔）"))</f>
        <v/>
      </c>
      <c r="F1042" s="9" t="str">
        <f aca="false">IF($A1042="","",IFERROR(INDEX(會員!$B$2:$B$2000,MATCH($A1042,會員!$A$2:$A$2000,0)),"（沒建檔）"))</f>
        <v/>
      </c>
      <c r="G1042" s="10" t="str">
        <f aca="false">IF($B1042="","",IF($D1042="","未還","已還"))</f>
        <v/>
      </c>
    </row>
    <row r="1043" customFormat="false" ht="15" hidden="false" customHeight="false" outlineLevel="0" collapsed="false">
      <c r="E1043" s="9" t="str">
        <f aca="false">IF($B1043="","",IFERROR(INDEX(書籍!$B$2:$B$2000,MATCH($B1043,書籍!$A$2:$A$2000,0)),"（沒建檔）"))</f>
        <v/>
      </c>
      <c r="F1043" s="9" t="str">
        <f aca="false">IF($A1043="","",IFERROR(INDEX(會員!$B$2:$B$2000,MATCH($A1043,會員!$A$2:$A$2000,0)),"（沒建檔）"))</f>
        <v/>
      </c>
      <c r="G1043" s="10" t="str">
        <f aca="false">IF($B1043="","",IF($D1043="","未還","已還"))</f>
        <v/>
      </c>
    </row>
    <row r="1044" customFormat="false" ht="15" hidden="false" customHeight="false" outlineLevel="0" collapsed="false">
      <c r="E1044" s="9" t="str">
        <f aca="false">IF($B1044="","",IFERROR(INDEX(書籍!$B$2:$B$2000,MATCH($B1044,書籍!$A$2:$A$2000,0)),"（沒建檔）"))</f>
        <v/>
      </c>
      <c r="F1044" s="9" t="str">
        <f aca="false">IF($A1044="","",IFERROR(INDEX(會員!$B$2:$B$2000,MATCH($A1044,會員!$A$2:$A$2000,0)),"（沒建檔）"))</f>
        <v/>
      </c>
      <c r="G1044" s="10" t="str">
        <f aca="false">IF($B1044="","",IF($D1044="","未還","已還"))</f>
        <v/>
      </c>
    </row>
    <row r="1045" customFormat="false" ht="15" hidden="false" customHeight="false" outlineLevel="0" collapsed="false">
      <c r="E1045" s="9" t="str">
        <f aca="false">IF($B1045="","",IFERROR(INDEX(書籍!$B$2:$B$2000,MATCH($B1045,書籍!$A$2:$A$2000,0)),"（沒建檔）"))</f>
        <v/>
      </c>
      <c r="F1045" s="9" t="str">
        <f aca="false">IF($A1045="","",IFERROR(INDEX(會員!$B$2:$B$2000,MATCH($A1045,會員!$A$2:$A$2000,0)),"（沒建檔）"))</f>
        <v/>
      </c>
      <c r="G1045" s="10" t="str">
        <f aca="false">IF($B1045="","",IF($D1045="","未還","已還"))</f>
        <v/>
      </c>
    </row>
    <row r="1046" customFormat="false" ht="15" hidden="false" customHeight="false" outlineLevel="0" collapsed="false">
      <c r="E1046" s="9" t="str">
        <f aca="false">IF($B1046="","",IFERROR(INDEX(書籍!$B$2:$B$2000,MATCH($B1046,書籍!$A$2:$A$2000,0)),"（沒建檔）"))</f>
        <v/>
      </c>
      <c r="F1046" s="9" t="str">
        <f aca="false">IF($A1046="","",IFERROR(INDEX(會員!$B$2:$B$2000,MATCH($A1046,會員!$A$2:$A$2000,0)),"（沒建檔）"))</f>
        <v/>
      </c>
      <c r="G1046" s="10" t="str">
        <f aca="false">IF($B1046="","",IF($D1046="","未還","已還"))</f>
        <v/>
      </c>
    </row>
    <row r="1047" customFormat="false" ht="15" hidden="false" customHeight="false" outlineLevel="0" collapsed="false">
      <c r="E1047" s="9" t="str">
        <f aca="false">IF($B1047="","",IFERROR(INDEX(書籍!$B$2:$B$2000,MATCH($B1047,書籍!$A$2:$A$2000,0)),"（沒建檔）"))</f>
        <v/>
      </c>
      <c r="F1047" s="9" t="str">
        <f aca="false">IF($A1047="","",IFERROR(INDEX(會員!$B$2:$B$2000,MATCH($A1047,會員!$A$2:$A$2000,0)),"（沒建檔）"))</f>
        <v/>
      </c>
      <c r="G1047" s="10" t="str">
        <f aca="false">IF($B1047="","",IF($D1047="","未還","已還"))</f>
        <v/>
      </c>
    </row>
    <row r="1048" customFormat="false" ht="15" hidden="false" customHeight="false" outlineLevel="0" collapsed="false">
      <c r="E1048" s="9" t="str">
        <f aca="false">IF($B1048="","",IFERROR(INDEX(書籍!$B$2:$B$2000,MATCH($B1048,書籍!$A$2:$A$2000,0)),"（沒建檔）"))</f>
        <v/>
      </c>
      <c r="F1048" s="9" t="str">
        <f aca="false">IF($A1048="","",IFERROR(INDEX(會員!$B$2:$B$2000,MATCH($A1048,會員!$A$2:$A$2000,0)),"（沒建檔）"))</f>
        <v/>
      </c>
      <c r="G1048" s="10" t="str">
        <f aca="false">IF($B1048="","",IF($D1048="","未還","已還"))</f>
        <v/>
      </c>
    </row>
    <row r="1049" customFormat="false" ht="15" hidden="false" customHeight="false" outlineLevel="0" collapsed="false">
      <c r="E1049" s="9" t="str">
        <f aca="false">IF($B1049="","",IFERROR(INDEX(書籍!$B$2:$B$2000,MATCH($B1049,書籍!$A$2:$A$2000,0)),"（沒建檔）"))</f>
        <v/>
      </c>
      <c r="F1049" s="9" t="str">
        <f aca="false">IF($A1049="","",IFERROR(INDEX(會員!$B$2:$B$2000,MATCH($A1049,會員!$A$2:$A$2000,0)),"（沒建檔）"))</f>
        <v/>
      </c>
      <c r="G1049" s="10" t="str">
        <f aca="false">IF($B1049="","",IF($D1049="","未還","已還"))</f>
        <v/>
      </c>
    </row>
    <row r="1050" customFormat="false" ht="15" hidden="false" customHeight="false" outlineLevel="0" collapsed="false">
      <c r="E1050" s="9" t="str">
        <f aca="false">IF($B1050="","",IFERROR(INDEX(書籍!$B$2:$B$2000,MATCH($B1050,書籍!$A$2:$A$2000,0)),"（沒建檔）"))</f>
        <v/>
      </c>
      <c r="F1050" s="9" t="str">
        <f aca="false">IF($A1050="","",IFERROR(INDEX(會員!$B$2:$B$2000,MATCH($A1050,會員!$A$2:$A$2000,0)),"（沒建檔）"))</f>
        <v/>
      </c>
      <c r="G1050" s="10" t="str">
        <f aca="false">IF($B1050="","",IF($D1050="","未還","已還"))</f>
        <v/>
      </c>
    </row>
    <row r="1051" customFormat="false" ht="15" hidden="false" customHeight="false" outlineLevel="0" collapsed="false">
      <c r="E1051" s="9" t="str">
        <f aca="false">IF($B1051="","",IFERROR(INDEX(書籍!$B$2:$B$2000,MATCH($B1051,書籍!$A$2:$A$2000,0)),"（沒建檔）"))</f>
        <v/>
      </c>
      <c r="F1051" s="9" t="str">
        <f aca="false">IF($A1051="","",IFERROR(INDEX(會員!$B$2:$B$2000,MATCH($A1051,會員!$A$2:$A$2000,0)),"（沒建檔）"))</f>
        <v/>
      </c>
      <c r="G1051" s="10" t="str">
        <f aca="false">IF($B1051="","",IF($D1051="","未還","已還"))</f>
        <v/>
      </c>
    </row>
    <row r="1052" customFormat="false" ht="15" hidden="false" customHeight="false" outlineLevel="0" collapsed="false">
      <c r="E1052" s="9" t="str">
        <f aca="false">IF($B1052="","",IFERROR(INDEX(書籍!$B$2:$B$2000,MATCH($B1052,書籍!$A$2:$A$2000,0)),"（沒建檔）"))</f>
        <v/>
      </c>
      <c r="F1052" s="9" t="str">
        <f aca="false">IF($A1052="","",IFERROR(INDEX(會員!$B$2:$B$2000,MATCH($A1052,會員!$A$2:$A$2000,0)),"（沒建檔）"))</f>
        <v/>
      </c>
      <c r="G1052" s="10" t="str">
        <f aca="false">IF($B1052="","",IF($D1052="","未還","已還"))</f>
        <v/>
      </c>
    </row>
    <row r="1053" customFormat="false" ht="15" hidden="false" customHeight="false" outlineLevel="0" collapsed="false">
      <c r="E1053" s="9" t="str">
        <f aca="false">IF($B1053="","",IFERROR(INDEX(書籍!$B$2:$B$2000,MATCH($B1053,書籍!$A$2:$A$2000,0)),"（沒建檔）"))</f>
        <v/>
      </c>
      <c r="F1053" s="9" t="str">
        <f aca="false">IF($A1053="","",IFERROR(INDEX(會員!$B$2:$B$2000,MATCH($A1053,會員!$A$2:$A$2000,0)),"（沒建檔）"))</f>
        <v/>
      </c>
      <c r="G1053" s="10" t="str">
        <f aca="false">IF($B1053="","",IF($D1053="","未還","已還"))</f>
        <v/>
      </c>
    </row>
    <row r="1054" customFormat="false" ht="15" hidden="false" customHeight="false" outlineLevel="0" collapsed="false">
      <c r="E1054" s="9" t="str">
        <f aca="false">IF($B1054="","",IFERROR(INDEX(書籍!$B$2:$B$2000,MATCH($B1054,書籍!$A$2:$A$2000,0)),"（沒建檔）"))</f>
        <v/>
      </c>
      <c r="F1054" s="9" t="str">
        <f aca="false">IF($A1054="","",IFERROR(INDEX(會員!$B$2:$B$2000,MATCH($A1054,會員!$A$2:$A$2000,0)),"（沒建檔）"))</f>
        <v/>
      </c>
      <c r="G1054" s="10" t="str">
        <f aca="false">IF($B1054="","",IF($D1054="","未還","已還"))</f>
        <v/>
      </c>
    </row>
    <row r="1055" customFormat="false" ht="15" hidden="false" customHeight="false" outlineLevel="0" collapsed="false">
      <c r="E1055" s="9" t="str">
        <f aca="false">IF($B1055="","",IFERROR(INDEX(書籍!$B$2:$B$2000,MATCH($B1055,書籍!$A$2:$A$2000,0)),"（沒建檔）"))</f>
        <v/>
      </c>
      <c r="F1055" s="9" t="str">
        <f aca="false">IF($A1055="","",IFERROR(INDEX(會員!$B$2:$B$2000,MATCH($A1055,會員!$A$2:$A$2000,0)),"（沒建檔）"))</f>
        <v/>
      </c>
      <c r="G1055" s="10" t="str">
        <f aca="false">IF($B1055="","",IF($D1055="","未還","已還"))</f>
        <v/>
      </c>
    </row>
    <row r="1056" customFormat="false" ht="15" hidden="false" customHeight="false" outlineLevel="0" collapsed="false">
      <c r="E1056" s="9" t="str">
        <f aca="false">IF($B1056="","",IFERROR(INDEX(書籍!$B$2:$B$2000,MATCH($B1056,書籍!$A$2:$A$2000,0)),"（沒建檔）"))</f>
        <v/>
      </c>
      <c r="F1056" s="9" t="str">
        <f aca="false">IF($A1056="","",IFERROR(INDEX(會員!$B$2:$B$2000,MATCH($A1056,會員!$A$2:$A$2000,0)),"（沒建檔）"))</f>
        <v/>
      </c>
      <c r="G1056" s="10" t="str">
        <f aca="false">IF($B1056="","",IF($D1056="","未還","已還"))</f>
        <v/>
      </c>
    </row>
    <row r="1057" customFormat="false" ht="15" hidden="false" customHeight="false" outlineLevel="0" collapsed="false">
      <c r="E1057" s="9" t="str">
        <f aca="false">IF($B1057="","",IFERROR(INDEX(書籍!$B$2:$B$2000,MATCH($B1057,書籍!$A$2:$A$2000,0)),"（沒建檔）"))</f>
        <v/>
      </c>
      <c r="F1057" s="9" t="str">
        <f aca="false">IF($A1057="","",IFERROR(INDEX(會員!$B$2:$B$2000,MATCH($A1057,會員!$A$2:$A$2000,0)),"（沒建檔）"))</f>
        <v/>
      </c>
      <c r="G1057" s="10" t="str">
        <f aca="false">IF($B1057="","",IF($D1057="","未還","已還"))</f>
        <v/>
      </c>
    </row>
    <row r="1058" customFormat="false" ht="15" hidden="false" customHeight="false" outlineLevel="0" collapsed="false">
      <c r="E1058" s="9" t="str">
        <f aca="false">IF($B1058="","",IFERROR(INDEX(書籍!$B$2:$B$2000,MATCH($B1058,書籍!$A$2:$A$2000,0)),"（沒建檔）"))</f>
        <v/>
      </c>
      <c r="F1058" s="9" t="str">
        <f aca="false">IF($A1058="","",IFERROR(INDEX(會員!$B$2:$B$2000,MATCH($A1058,會員!$A$2:$A$2000,0)),"（沒建檔）"))</f>
        <v/>
      </c>
      <c r="G1058" s="10" t="str">
        <f aca="false">IF($B1058="","",IF($D1058="","未還","已還"))</f>
        <v/>
      </c>
    </row>
    <row r="1059" customFormat="false" ht="15" hidden="false" customHeight="false" outlineLevel="0" collapsed="false">
      <c r="E1059" s="9" t="str">
        <f aca="false">IF($B1059="","",IFERROR(INDEX(書籍!$B$2:$B$2000,MATCH($B1059,書籍!$A$2:$A$2000,0)),"（沒建檔）"))</f>
        <v/>
      </c>
      <c r="F1059" s="9" t="str">
        <f aca="false">IF($A1059="","",IFERROR(INDEX(會員!$B$2:$B$2000,MATCH($A1059,會員!$A$2:$A$2000,0)),"（沒建檔）"))</f>
        <v/>
      </c>
      <c r="G1059" s="10" t="str">
        <f aca="false">IF($B1059="","",IF($D1059="","未還","已還"))</f>
        <v/>
      </c>
    </row>
    <row r="1060" customFormat="false" ht="15" hidden="false" customHeight="false" outlineLevel="0" collapsed="false">
      <c r="E1060" s="9" t="str">
        <f aca="false">IF($B1060="","",IFERROR(INDEX(書籍!$B$2:$B$2000,MATCH($B1060,書籍!$A$2:$A$2000,0)),"（沒建檔）"))</f>
        <v/>
      </c>
      <c r="F1060" s="9" t="str">
        <f aca="false">IF($A1060="","",IFERROR(INDEX(會員!$B$2:$B$2000,MATCH($A1060,會員!$A$2:$A$2000,0)),"（沒建檔）"))</f>
        <v/>
      </c>
      <c r="G1060" s="10" t="str">
        <f aca="false">IF($B1060="","",IF($D1060="","未還","已還"))</f>
        <v/>
      </c>
    </row>
    <row r="1061" customFormat="false" ht="15" hidden="false" customHeight="false" outlineLevel="0" collapsed="false">
      <c r="E1061" s="9" t="str">
        <f aca="false">IF($B1061="","",IFERROR(INDEX(書籍!$B$2:$B$2000,MATCH($B1061,書籍!$A$2:$A$2000,0)),"（沒建檔）"))</f>
        <v/>
      </c>
      <c r="F1061" s="9" t="str">
        <f aca="false">IF($A1061="","",IFERROR(INDEX(會員!$B$2:$B$2000,MATCH($A1061,會員!$A$2:$A$2000,0)),"（沒建檔）"))</f>
        <v/>
      </c>
      <c r="G1061" s="10" t="str">
        <f aca="false">IF($B1061="","",IF($D1061="","未還","已還"))</f>
        <v/>
      </c>
    </row>
    <row r="1062" customFormat="false" ht="15" hidden="false" customHeight="false" outlineLevel="0" collapsed="false">
      <c r="E1062" s="9" t="str">
        <f aca="false">IF($B1062="","",IFERROR(INDEX(書籍!$B$2:$B$2000,MATCH($B1062,書籍!$A$2:$A$2000,0)),"（沒建檔）"))</f>
        <v/>
      </c>
      <c r="F1062" s="9" t="str">
        <f aca="false">IF($A1062="","",IFERROR(INDEX(會員!$B$2:$B$2000,MATCH($A1062,會員!$A$2:$A$2000,0)),"（沒建檔）"))</f>
        <v/>
      </c>
      <c r="G1062" s="10" t="str">
        <f aca="false">IF($B1062="","",IF($D1062="","未還","已還"))</f>
        <v/>
      </c>
    </row>
    <row r="1063" customFormat="false" ht="15" hidden="false" customHeight="false" outlineLevel="0" collapsed="false">
      <c r="E1063" s="9" t="str">
        <f aca="false">IF($B1063="","",IFERROR(INDEX(書籍!$B$2:$B$2000,MATCH($B1063,書籍!$A$2:$A$2000,0)),"（沒建檔）"))</f>
        <v/>
      </c>
      <c r="F1063" s="9" t="str">
        <f aca="false">IF($A1063="","",IFERROR(INDEX(會員!$B$2:$B$2000,MATCH($A1063,會員!$A$2:$A$2000,0)),"（沒建檔）"))</f>
        <v/>
      </c>
      <c r="G1063" s="10" t="str">
        <f aca="false">IF($B1063="","",IF($D1063="","未還","已還"))</f>
        <v/>
      </c>
    </row>
    <row r="1064" customFormat="false" ht="15" hidden="false" customHeight="false" outlineLevel="0" collapsed="false">
      <c r="E1064" s="9" t="str">
        <f aca="false">IF($B1064="","",IFERROR(INDEX(書籍!$B$2:$B$2000,MATCH($B1064,書籍!$A$2:$A$2000,0)),"（沒建檔）"))</f>
        <v/>
      </c>
      <c r="F1064" s="9" t="str">
        <f aca="false">IF($A1064="","",IFERROR(INDEX(會員!$B$2:$B$2000,MATCH($A1064,會員!$A$2:$A$2000,0)),"（沒建檔）"))</f>
        <v/>
      </c>
      <c r="G1064" s="10" t="str">
        <f aca="false">IF($B1064="","",IF($D1064="","未還","已還"))</f>
        <v/>
      </c>
    </row>
    <row r="1065" customFormat="false" ht="15" hidden="false" customHeight="false" outlineLevel="0" collapsed="false">
      <c r="E1065" s="9" t="str">
        <f aca="false">IF($B1065="","",IFERROR(INDEX(書籍!$B$2:$B$2000,MATCH($B1065,書籍!$A$2:$A$2000,0)),"（沒建檔）"))</f>
        <v/>
      </c>
      <c r="F1065" s="9" t="str">
        <f aca="false">IF($A1065="","",IFERROR(INDEX(會員!$B$2:$B$2000,MATCH($A1065,會員!$A$2:$A$2000,0)),"（沒建檔）"))</f>
        <v/>
      </c>
      <c r="G1065" s="10" t="str">
        <f aca="false">IF($B1065="","",IF($D1065="","未還","已還"))</f>
        <v/>
      </c>
    </row>
    <row r="1066" customFormat="false" ht="15" hidden="false" customHeight="false" outlineLevel="0" collapsed="false">
      <c r="E1066" s="9" t="str">
        <f aca="false">IF($B1066="","",IFERROR(INDEX(書籍!$B$2:$B$2000,MATCH($B1066,書籍!$A$2:$A$2000,0)),"（沒建檔）"))</f>
        <v/>
      </c>
      <c r="F1066" s="9" t="str">
        <f aca="false">IF($A1066="","",IFERROR(INDEX(會員!$B$2:$B$2000,MATCH($A1066,會員!$A$2:$A$2000,0)),"（沒建檔）"))</f>
        <v/>
      </c>
      <c r="G1066" s="10" t="str">
        <f aca="false">IF($B1066="","",IF($D1066="","未還","已還"))</f>
        <v/>
      </c>
    </row>
    <row r="1067" customFormat="false" ht="15" hidden="false" customHeight="false" outlineLevel="0" collapsed="false">
      <c r="E1067" s="9" t="str">
        <f aca="false">IF($B1067="","",IFERROR(INDEX(書籍!$B$2:$B$2000,MATCH($B1067,書籍!$A$2:$A$2000,0)),"（沒建檔）"))</f>
        <v/>
      </c>
      <c r="F1067" s="9" t="str">
        <f aca="false">IF($A1067="","",IFERROR(INDEX(會員!$B$2:$B$2000,MATCH($A1067,會員!$A$2:$A$2000,0)),"（沒建檔）"))</f>
        <v/>
      </c>
      <c r="G1067" s="10" t="str">
        <f aca="false">IF($B1067="","",IF($D1067="","未還","已還"))</f>
        <v/>
      </c>
    </row>
    <row r="1068" customFormat="false" ht="15" hidden="false" customHeight="false" outlineLevel="0" collapsed="false">
      <c r="E1068" s="9" t="str">
        <f aca="false">IF($B1068="","",IFERROR(INDEX(書籍!$B$2:$B$2000,MATCH($B1068,書籍!$A$2:$A$2000,0)),"（沒建檔）"))</f>
        <v/>
      </c>
      <c r="F1068" s="9" t="str">
        <f aca="false">IF($A1068="","",IFERROR(INDEX(會員!$B$2:$B$2000,MATCH($A1068,會員!$A$2:$A$2000,0)),"（沒建檔）"))</f>
        <v/>
      </c>
      <c r="G1068" s="10" t="str">
        <f aca="false">IF($B1068="","",IF($D1068="","未還","已還"))</f>
        <v/>
      </c>
    </row>
    <row r="1069" customFormat="false" ht="15" hidden="false" customHeight="false" outlineLevel="0" collapsed="false">
      <c r="E1069" s="9" t="str">
        <f aca="false">IF($B1069="","",IFERROR(INDEX(書籍!$B$2:$B$2000,MATCH($B1069,書籍!$A$2:$A$2000,0)),"（沒建檔）"))</f>
        <v/>
      </c>
      <c r="F1069" s="9" t="str">
        <f aca="false">IF($A1069="","",IFERROR(INDEX(會員!$B$2:$B$2000,MATCH($A1069,會員!$A$2:$A$2000,0)),"（沒建檔）"))</f>
        <v/>
      </c>
      <c r="G1069" s="10" t="str">
        <f aca="false">IF($B1069="","",IF($D1069="","未還","已還"))</f>
        <v/>
      </c>
    </row>
    <row r="1070" customFormat="false" ht="15" hidden="false" customHeight="false" outlineLevel="0" collapsed="false">
      <c r="E1070" s="9" t="str">
        <f aca="false">IF($B1070="","",IFERROR(INDEX(書籍!$B$2:$B$2000,MATCH($B1070,書籍!$A$2:$A$2000,0)),"（沒建檔）"))</f>
        <v/>
      </c>
      <c r="F1070" s="9" t="str">
        <f aca="false">IF($A1070="","",IFERROR(INDEX(會員!$B$2:$B$2000,MATCH($A1070,會員!$A$2:$A$2000,0)),"（沒建檔）"))</f>
        <v/>
      </c>
      <c r="G1070" s="10" t="str">
        <f aca="false">IF($B1070="","",IF($D1070="","未還","已還"))</f>
        <v/>
      </c>
    </row>
    <row r="1071" customFormat="false" ht="15" hidden="false" customHeight="false" outlineLevel="0" collapsed="false">
      <c r="E1071" s="9" t="str">
        <f aca="false">IF($B1071="","",IFERROR(INDEX(書籍!$B$2:$B$2000,MATCH($B1071,書籍!$A$2:$A$2000,0)),"（沒建檔）"))</f>
        <v/>
      </c>
      <c r="F1071" s="9" t="str">
        <f aca="false">IF($A1071="","",IFERROR(INDEX(會員!$B$2:$B$2000,MATCH($A1071,會員!$A$2:$A$2000,0)),"（沒建檔）"))</f>
        <v/>
      </c>
      <c r="G1071" s="10" t="str">
        <f aca="false">IF($B1071="","",IF($D1071="","未還","已還"))</f>
        <v/>
      </c>
    </row>
    <row r="1072" customFormat="false" ht="15" hidden="false" customHeight="false" outlineLevel="0" collapsed="false">
      <c r="E1072" s="9" t="str">
        <f aca="false">IF($B1072="","",IFERROR(INDEX(書籍!$B$2:$B$2000,MATCH($B1072,書籍!$A$2:$A$2000,0)),"（沒建檔）"))</f>
        <v/>
      </c>
      <c r="F1072" s="9" t="str">
        <f aca="false">IF($A1072="","",IFERROR(INDEX(會員!$B$2:$B$2000,MATCH($A1072,會員!$A$2:$A$2000,0)),"（沒建檔）"))</f>
        <v/>
      </c>
      <c r="G1072" s="10" t="str">
        <f aca="false">IF($B1072="","",IF($D1072="","未還","已還"))</f>
        <v/>
      </c>
    </row>
    <row r="1073" customFormat="false" ht="15" hidden="false" customHeight="false" outlineLevel="0" collapsed="false">
      <c r="E1073" s="9" t="str">
        <f aca="false">IF($B1073="","",IFERROR(INDEX(書籍!$B$2:$B$2000,MATCH($B1073,書籍!$A$2:$A$2000,0)),"（沒建檔）"))</f>
        <v/>
      </c>
      <c r="F1073" s="9" t="str">
        <f aca="false">IF($A1073="","",IFERROR(INDEX(會員!$B$2:$B$2000,MATCH($A1073,會員!$A$2:$A$2000,0)),"（沒建檔）"))</f>
        <v/>
      </c>
      <c r="G1073" s="10" t="str">
        <f aca="false">IF($B1073="","",IF($D1073="","未還","已還"))</f>
        <v/>
      </c>
    </row>
    <row r="1074" customFormat="false" ht="15" hidden="false" customHeight="false" outlineLevel="0" collapsed="false">
      <c r="E1074" s="9" t="str">
        <f aca="false">IF($B1074="","",IFERROR(INDEX(書籍!$B$2:$B$2000,MATCH($B1074,書籍!$A$2:$A$2000,0)),"（沒建檔）"))</f>
        <v/>
      </c>
      <c r="F1074" s="9" t="str">
        <f aca="false">IF($A1074="","",IFERROR(INDEX(會員!$B$2:$B$2000,MATCH($A1074,會員!$A$2:$A$2000,0)),"（沒建檔）"))</f>
        <v/>
      </c>
      <c r="G1074" s="10" t="str">
        <f aca="false">IF($B1074="","",IF($D1074="","未還","已還"))</f>
        <v/>
      </c>
    </row>
    <row r="1075" customFormat="false" ht="15" hidden="false" customHeight="false" outlineLevel="0" collapsed="false">
      <c r="E1075" s="9" t="str">
        <f aca="false">IF($B1075="","",IFERROR(INDEX(書籍!$B$2:$B$2000,MATCH($B1075,書籍!$A$2:$A$2000,0)),"（沒建檔）"))</f>
        <v/>
      </c>
      <c r="F1075" s="9" t="str">
        <f aca="false">IF($A1075="","",IFERROR(INDEX(會員!$B$2:$B$2000,MATCH($A1075,會員!$A$2:$A$2000,0)),"（沒建檔）"))</f>
        <v/>
      </c>
      <c r="G1075" s="10" t="str">
        <f aca="false">IF($B1075="","",IF($D1075="","未還","已還"))</f>
        <v/>
      </c>
    </row>
    <row r="1076" customFormat="false" ht="15" hidden="false" customHeight="false" outlineLevel="0" collapsed="false">
      <c r="E1076" s="9" t="str">
        <f aca="false">IF($B1076="","",IFERROR(INDEX(書籍!$B$2:$B$2000,MATCH($B1076,書籍!$A$2:$A$2000,0)),"（沒建檔）"))</f>
        <v/>
      </c>
      <c r="F1076" s="9" t="str">
        <f aca="false">IF($A1076="","",IFERROR(INDEX(會員!$B$2:$B$2000,MATCH($A1076,會員!$A$2:$A$2000,0)),"（沒建檔）"))</f>
        <v/>
      </c>
      <c r="G1076" s="10" t="str">
        <f aca="false">IF($B1076="","",IF($D1076="","未還","已還"))</f>
        <v/>
      </c>
    </row>
    <row r="1077" customFormat="false" ht="15" hidden="false" customHeight="false" outlineLevel="0" collapsed="false">
      <c r="E1077" s="9" t="str">
        <f aca="false">IF($B1077="","",IFERROR(INDEX(書籍!$B$2:$B$2000,MATCH($B1077,書籍!$A$2:$A$2000,0)),"（沒建檔）"))</f>
        <v/>
      </c>
      <c r="F1077" s="9" t="str">
        <f aca="false">IF($A1077="","",IFERROR(INDEX(會員!$B$2:$B$2000,MATCH($A1077,會員!$A$2:$A$2000,0)),"（沒建檔）"))</f>
        <v/>
      </c>
      <c r="G1077" s="10" t="str">
        <f aca="false">IF($B1077="","",IF($D1077="","未還","已還"))</f>
        <v/>
      </c>
    </row>
    <row r="1078" customFormat="false" ht="15" hidden="false" customHeight="false" outlineLevel="0" collapsed="false">
      <c r="E1078" s="9" t="str">
        <f aca="false">IF($B1078="","",IFERROR(INDEX(書籍!$B$2:$B$2000,MATCH($B1078,書籍!$A$2:$A$2000,0)),"（沒建檔）"))</f>
        <v/>
      </c>
      <c r="F1078" s="9" t="str">
        <f aca="false">IF($A1078="","",IFERROR(INDEX(會員!$B$2:$B$2000,MATCH($A1078,會員!$A$2:$A$2000,0)),"（沒建檔）"))</f>
        <v/>
      </c>
      <c r="G1078" s="10" t="str">
        <f aca="false">IF($B1078="","",IF($D1078="","未還","已還"))</f>
        <v/>
      </c>
    </row>
    <row r="1079" customFormat="false" ht="15" hidden="false" customHeight="false" outlineLevel="0" collapsed="false">
      <c r="E1079" s="9" t="str">
        <f aca="false">IF($B1079="","",IFERROR(INDEX(書籍!$B$2:$B$2000,MATCH($B1079,書籍!$A$2:$A$2000,0)),"（沒建檔）"))</f>
        <v/>
      </c>
      <c r="F1079" s="9" t="str">
        <f aca="false">IF($A1079="","",IFERROR(INDEX(會員!$B$2:$B$2000,MATCH($A1079,會員!$A$2:$A$2000,0)),"（沒建檔）"))</f>
        <v/>
      </c>
      <c r="G1079" s="10" t="str">
        <f aca="false">IF($B1079="","",IF($D1079="","未還","已還"))</f>
        <v/>
      </c>
    </row>
    <row r="1080" customFormat="false" ht="15" hidden="false" customHeight="false" outlineLevel="0" collapsed="false">
      <c r="E1080" s="9" t="str">
        <f aca="false">IF($B1080="","",IFERROR(INDEX(書籍!$B$2:$B$2000,MATCH($B1080,書籍!$A$2:$A$2000,0)),"（沒建檔）"))</f>
        <v/>
      </c>
      <c r="F1080" s="9" t="str">
        <f aca="false">IF($A1080="","",IFERROR(INDEX(會員!$B$2:$B$2000,MATCH($A1080,會員!$A$2:$A$2000,0)),"（沒建檔）"))</f>
        <v/>
      </c>
      <c r="G1080" s="10" t="str">
        <f aca="false">IF($B1080="","",IF($D1080="","未還","已還"))</f>
        <v/>
      </c>
    </row>
    <row r="1081" customFormat="false" ht="15" hidden="false" customHeight="false" outlineLevel="0" collapsed="false">
      <c r="E1081" s="9" t="str">
        <f aca="false">IF($B1081="","",IFERROR(INDEX(書籍!$B$2:$B$2000,MATCH($B1081,書籍!$A$2:$A$2000,0)),"（沒建檔）"))</f>
        <v/>
      </c>
      <c r="F1081" s="9" t="str">
        <f aca="false">IF($A1081="","",IFERROR(INDEX(會員!$B$2:$B$2000,MATCH($A1081,會員!$A$2:$A$2000,0)),"（沒建檔）"))</f>
        <v/>
      </c>
      <c r="G1081" s="10" t="str">
        <f aca="false">IF($B1081="","",IF($D1081="","未還","已還"))</f>
        <v/>
      </c>
    </row>
    <row r="1082" customFormat="false" ht="15" hidden="false" customHeight="false" outlineLevel="0" collapsed="false">
      <c r="E1082" s="9" t="str">
        <f aca="false">IF($B1082="","",IFERROR(INDEX(書籍!$B$2:$B$2000,MATCH($B1082,書籍!$A$2:$A$2000,0)),"（沒建檔）"))</f>
        <v/>
      </c>
      <c r="F1082" s="9" t="str">
        <f aca="false">IF($A1082="","",IFERROR(INDEX(會員!$B$2:$B$2000,MATCH($A1082,會員!$A$2:$A$2000,0)),"（沒建檔）"))</f>
        <v/>
      </c>
      <c r="G1082" s="10" t="str">
        <f aca="false">IF($B1082="","",IF($D1082="","未還","已還"))</f>
        <v/>
      </c>
    </row>
    <row r="1083" customFormat="false" ht="15" hidden="false" customHeight="false" outlineLevel="0" collapsed="false">
      <c r="E1083" s="9" t="str">
        <f aca="false">IF($B1083="","",IFERROR(INDEX(書籍!$B$2:$B$2000,MATCH($B1083,書籍!$A$2:$A$2000,0)),"（沒建檔）"))</f>
        <v/>
      </c>
      <c r="F1083" s="9" t="str">
        <f aca="false">IF($A1083="","",IFERROR(INDEX(會員!$B$2:$B$2000,MATCH($A1083,會員!$A$2:$A$2000,0)),"（沒建檔）"))</f>
        <v/>
      </c>
      <c r="G1083" s="10" t="str">
        <f aca="false">IF($B1083="","",IF($D1083="","未還","已還"))</f>
        <v/>
      </c>
    </row>
    <row r="1084" customFormat="false" ht="15" hidden="false" customHeight="false" outlineLevel="0" collapsed="false">
      <c r="E1084" s="9" t="str">
        <f aca="false">IF($B1084="","",IFERROR(INDEX(書籍!$B$2:$B$2000,MATCH($B1084,書籍!$A$2:$A$2000,0)),"（沒建檔）"))</f>
        <v/>
      </c>
      <c r="F1084" s="9" t="str">
        <f aca="false">IF($A1084="","",IFERROR(INDEX(會員!$B$2:$B$2000,MATCH($A1084,會員!$A$2:$A$2000,0)),"（沒建檔）"))</f>
        <v/>
      </c>
      <c r="G1084" s="10" t="str">
        <f aca="false">IF($B1084="","",IF($D1084="","未還","已還"))</f>
        <v/>
      </c>
    </row>
    <row r="1085" customFormat="false" ht="15" hidden="false" customHeight="false" outlineLevel="0" collapsed="false">
      <c r="E1085" s="9" t="str">
        <f aca="false">IF($B1085="","",IFERROR(INDEX(書籍!$B$2:$B$2000,MATCH($B1085,書籍!$A$2:$A$2000,0)),"（沒建檔）"))</f>
        <v/>
      </c>
      <c r="F1085" s="9" t="str">
        <f aca="false">IF($A1085="","",IFERROR(INDEX(會員!$B$2:$B$2000,MATCH($A1085,會員!$A$2:$A$2000,0)),"（沒建檔）"))</f>
        <v/>
      </c>
      <c r="G1085" s="10" t="str">
        <f aca="false">IF($B1085="","",IF($D1085="","未還","已還"))</f>
        <v/>
      </c>
    </row>
    <row r="1086" customFormat="false" ht="15" hidden="false" customHeight="false" outlineLevel="0" collapsed="false">
      <c r="E1086" s="9" t="str">
        <f aca="false">IF($B1086="","",IFERROR(INDEX(書籍!$B$2:$B$2000,MATCH($B1086,書籍!$A$2:$A$2000,0)),"（沒建檔）"))</f>
        <v/>
      </c>
      <c r="F1086" s="9" t="str">
        <f aca="false">IF($A1086="","",IFERROR(INDEX(會員!$B$2:$B$2000,MATCH($A1086,會員!$A$2:$A$2000,0)),"（沒建檔）"))</f>
        <v/>
      </c>
      <c r="G1086" s="10" t="str">
        <f aca="false">IF($B1086="","",IF($D1086="","未還","已還"))</f>
        <v/>
      </c>
    </row>
    <row r="1087" customFormat="false" ht="15" hidden="false" customHeight="false" outlineLevel="0" collapsed="false">
      <c r="E1087" s="9" t="str">
        <f aca="false">IF($B1087="","",IFERROR(INDEX(書籍!$B$2:$B$2000,MATCH($B1087,書籍!$A$2:$A$2000,0)),"（沒建檔）"))</f>
        <v/>
      </c>
      <c r="F1087" s="9" t="str">
        <f aca="false">IF($A1087="","",IFERROR(INDEX(會員!$B$2:$B$2000,MATCH($A1087,會員!$A$2:$A$2000,0)),"（沒建檔）"))</f>
        <v/>
      </c>
      <c r="G1087" s="10" t="str">
        <f aca="false">IF($B1087="","",IF($D1087="","未還","已還"))</f>
        <v/>
      </c>
    </row>
    <row r="1088" customFormat="false" ht="15" hidden="false" customHeight="false" outlineLevel="0" collapsed="false">
      <c r="E1088" s="9" t="str">
        <f aca="false">IF($B1088="","",IFERROR(INDEX(書籍!$B$2:$B$2000,MATCH($B1088,書籍!$A$2:$A$2000,0)),"（沒建檔）"))</f>
        <v/>
      </c>
      <c r="F1088" s="9" t="str">
        <f aca="false">IF($A1088="","",IFERROR(INDEX(會員!$B$2:$B$2000,MATCH($A1088,會員!$A$2:$A$2000,0)),"（沒建檔）"))</f>
        <v/>
      </c>
      <c r="G1088" s="10" t="str">
        <f aca="false">IF($B1088="","",IF($D1088="","未還","已還"))</f>
        <v/>
      </c>
    </row>
    <row r="1089" customFormat="false" ht="15" hidden="false" customHeight="false" outlineLevel="0" collapsed="false">
      <c r="E1089" s="9" t="str">
        <f aca="false">IF($B1089="","",IFERROR(INDEX(書籍!$B$2:$B$2000,MATCH($B1089,書籍!$A$2:$A$2000,0)),"（沒建檔）"))</f>
        <v/>
      </c>
      <c r="F1089" s="9" t="str">
        <f aca="false">IF($A1089="","",IFERROR(INDEX(會員!$B$2:$B$2000,MATCH($A1089,會員!$A$2:$A$2000,0)),"（沒建檔）"))</f>
        <v/>
      </c>
      <c r="G1089" s="10" t="str">
        <f aca="false">IF($B1089="","",IF($D1089="","未還","已還"))</f>
        <v/>
      </c>
    </row>
    <row r="1090" customFormat="false" ht="15" hidden="false" customHeight="false" outlineLevel="0" collapsed="false">
      <c r="E1090" s="9" t="str">
        <f aca="false">IF($B1090="","",IFERROR(INDEX(書籍!$B$2:$B$2000,MATCH($B1090,書籍!$A$2:$A$2000,0)),"（沒建檔）"))</f>
        <v/>
      </c>
      <c r="F1090" s="9" t="str">
        <f aca="false">IF($A1090="","",IFERROR(INDEX(會員!$B$2:$B$2000,MATCH($A1090,會員!$A$2:$A$2000,0)),"（沒建檔）"))</f>
        <v/>
      </c>
      <c r="G1090" s="10" t="str">
        <f aca="false">IF($B1090="","",IF($D1090="","未還","已還"))</f>
        <v/>
      </c>
    </row>
    <row r="1091" customFormat="false" ht="15" hidden="false" customHeight="false" outlineLevel="0" collapsed="false">
      <c r="E1091" s="9" t="str">
        <f aca="false">IF($B1091="","",IFERROR(INDEX(書籍!$B$2:$B$2000,MATCH($B1091,書籍!$A$2:$A$2000,0)),"（沒建檔）"))</f>
        <v/>
      </c>
      <c r="F1091" s="9" t="str">
        <f aca="false">IF($A1091="","",IFERROR(INDEX(會員!$B$2:$B$2000,MATCH($A1091,會員!$A$2:$A$2000,0)),"（沒建檔）"))</f>
        <v/>
      </c>
      <c r="G1091" s="10" t="str">
        <f aca="false">IF($B1091="","",IF($D1091="","未還","已還"))</f>
        <v/>
      </c>
    </row>
    <row r="1092" customFormat="false" ht="15" hidden="false" customHeight="false" outlineLevel="0" collapsed="false">
      <c r="E1092" s="9" t="str">
        <f aca="false">IF($B1092="","",IFERROR(INDEX(書籍!$B$2:$B$2000,MATCH($B1092,書籍!$A$2:$A$2000,0)),"（沒建檔）"))</f>
        <v/>
      </c>
      <c r="F1092" s="9" t="str">
        <f aca="false">IF($A1092="","",IFERROR(INDEX(會員!$B$2:$B$2000,MATCH($A1092,會員!$A$2:$A$2000,0)),"（沒建檔）"))</f>
        <v/>
      </c>
      <c r="G1092" s="10" t="str">
        <f aca="false">IF($B1092="","",IF($D1092="","未還","已還"))</f>
        <v/>
      </c>
    </row>
    <row r="1093" customFormat="false" ht="15" hidden="false" customHeight="false" outlineLevel="0" collapsed="false">
      <c r="E1093" s="9" t="str">
        <f aca="false">IF($B1093="","",IFERROR(INDEX(書籍!$B$2:$B$2000,MATCH($B1093,書籍!$A$2:$A$2000,0)),"（沒建檔）"))</f>
        <v/>
      </c>
      <c r="F1093" s="9" t="str">
        <f aca="false">IF($A1093="","",IFERROR(INDEX(會員!$B$2:$B$2000,MATCH($A1093,會員!$A$2:$A$2000,0)),"（沒建檔）"))</f>
        <v/>
      </c>
      <c r="G1093" s="10" t="str">
        <f aca="false">IF($B1093="","",IF($D1093="","未還","已還"))</f>
        <v/>
      </c>
    </row>
    <row r="1094" customFormat="false" ht="15" hidden="false" customHeight="false" outlineLevel="0" collapsed="false">
      <c r="E1094" s="9" t="str">
        <f aca="false">IF($B1094="","",IFERROR(INDEX(書籍!$B$2:$B$2000,MATCH($B1094,書籍!$A$2:$A$2000,0)),"（沒建檔）"))</f>
        <v/>
      </c>
      <c r="F1094" s="9" t="str">
        <f aca="false">IF($A1094="","",IFERROR(INDEX(會員!$B$2:$B$2000,MATCH($A1094,會員!$A$2:$A$2000,0)),"（沒建檔）"))</f>
        <v/>
      </c>
      <c r="G1094" s="10" t="str">
        <f aca="false">IF($B1094="","",IF($D1094="","未還","已還"))</f>
        <v/>
      </c>
    </row>
    <row r="1095" customFormat="false" ht="15" hidden="false" customHeight="false" outlineLevel="0" collapsed="false">
      <c r="E1095" s="9" t="str">
        <f aca="false">IF($B1095="","",IFERROR(INDEX(書籍!$B$2:$B$2000,MATCH($B1095,書籍!$A$2:$A$2000,0)),"（沒建檔）"))</f>
        <v/>
      </c>
      <c r="F1095" s="9" t="str">
        <f aca="false">IF($A1095="","",IFERROR(INDEX(會員!$B$2:$B$2000,MATCH($A1095,會員!$A$2:$A$2000,0)),"（沒建檔）"))</f>
        <v/>
      </c>
      <c r="G1095" s="10" t="str">
        <f aca="false">IF($B1095="","",IF($D1095="","未還","已還"))</f>
        <v/>
      </c>
    </row>
    <row r="1096" customFormat="false" ht="15" hidden="false" customHeight="false" outlineLevel="0" collapsed="false">
      <c r="E1096" s="9" t="str">
        <f aca="false">IF($B1096="","",IFERROR(INDEX(書籍!$B$2:$B$2000,MATCH($B1096,書籍!$A$2:$A$2000,0)),"（沒建檔）"))</f>
        <v/>
      </c>
      <c r="F1096" s="9" t="str">
        <f aca="false">IF($A1096="","",IFERROR(INDEX(會員!$B$2:$B$2000,MATCH($A1096,會員!$A$2:$A$2000,0)),"（沒建檔）"))</f>
        <v/>
      </c>
      <c r="G1096" s="10" t="str">
        <f aca="false">IF($B1096="","",IF($D1096="","未還","已還"))</f>
        <v/>
      </c>
    </row>
    <row r="1097" customFormat="false" ht="15" hidden="false" customHeight="false" outlineLevel="0" collapsed="false">
      <c r="E1097" s="9" t="str">
        <f aca="false">IF($B1097="","",IFERROR(INDEX(書籍!$B$2:$B$2000,MATCH($B1097,書籍!$A$2:$A$2000,0)),"（沒建檔）"))</f>
        <v/>
      </c>
      <c r="F1097" s="9" t="str">
        <f aca="false">IF($A1097="","",IFERROR(INDEX(會員!$B$2:$B$2000,MATCH($A1097,會員!$A$2:$A$2000,0)),"（沒建檔）"))</f>
        <v/>
      </c>
      <c r="G1097" s="10" t="str">
        <f aca="false">IF($B1097="","",IF($D1097="","未還","已還"))</f>
        <v/>
      </c>
    </row>
    <row r="1098" customFormat="false" ht="15" hidden="false" customHeight="false" outlineLevel="0" collapsed="false">
      <c r="E1098" s="9" t="str">
        <f aca="false">IF($B1098="","",IFERROR(INDEX(書籍!$B$2:$B$2000,MATCH($B1098,書籍!$A$2:$A$2000,0)),"（沒建檔）"))</f>
        <v/>
      </c>
      <c r="F1098" s="9" t="str">
        <f aca="false">IF($A1098="","",IFERROR(INDEX(會員!$B$2:$B$2000,MATCH($A1098,會員!$A$2:$A$2000,0)),"（沒建檔）"))</f>
        <v/>
      </c>
      <c r="G1098" s="10" t="str">
        <f aca="false">IF($B1098="","",IF($D1098="","未還","已還"))</f>
        <v/>
      </c>
    </row>
    <row r="1099" customFormat="false" ht="15" hidden="false" customHeight="false" outlineLevel="0" collapsed="false">
      <c r="E1099" s="9" t="str">
        <f aca="false">IF($B1099="","",IFERROR(INDEX(書籍!$B$2:$B$2000,MATCH($B1099,書籍!$A$2:$A$2000,0)),"（沒建檔）"))</f>
        <v/>
      </c>
      <c r="F1099" s="9" t="str">
        <f aca="false">IF($A1099="","",IFERROR(INDEX(會員!$B$2:$B$2000,MATCH($A1099,會員!$A$2:$A$2000,0)),"（沒建檔）"))</f>
        <v/>
      </c>
      <c r="G1099" s="10" t="str">
        <f aca="false">IF($B1099="","",IF($D1099="","未還","已還"))</f>
        <v/>
      </c>
    </row>
    <row r="1100" customFormat="false" ht="15" hidden="false" customHeight="false" outlineLevel="0" collapsed="false">
      <c r="E1100" s="9" t="str">
        <f aca="false">IF($B1100="","",IFERROR(INDEX(書籍!$B$2:$B$2000,MATCH($B1100,書籍!$A$2:$A$2000,0)),"（沒建檔）"))</f>
        <v/>
      </c>
      <c r="F1100" s="9" t="str">
        <f aca="false">IF($A1100="","",IFERROR(INDEX(會員!$B$2:$B$2000,MATCH($A1100,會員!$A$2:$A$2000,0)),"（沒建檔）"))</f>
        <v/>
      </c>
      <c r="G1100" s="10" t="str">
        <f aca="false">IF($B1100="","",IF($D1100="","未還","已還"))</f>
        <v/>
      </c>
    </row>
    <row r="1101" customFormat="false" ht="15" hidden="false" customHeight="false" outlineLevel="0" collapsed="false">
      <c r="E1101" s="9" t="str">
        <f aca="false">IF($B1101="","",IFERROR(INDEX(書籍!$B$2:$B$2000,MATCH($B1101,書籍!$A$2:$A$2000,0)),"（沒建檔）"))</f>
        <v/>
      </c>
      <c r="F1101" s="9" t="str">
        <f aca="false">IF($A1101="","",IFERROR(INDEX(會員!$B$2:$B$2000,MATCH($A1101,會員!$A$2:$A$2000,0)),"（沒建檔）"))</f>
        <v/>
      </c>
      <c r="G1101" s="10" t="str">
        <f aca="false">IF($B1101="","",IF($D1101="","未還","已還"))</f>
        <v/>
      </c>
    </row>
    <row r="1102" customFormat="false" ht="15" hidden="false" customHeight="false" outlineLevel="0" collapsed="false">
      <c r="E1102" s="9" t="str">
        <f aca="false">IF($B1102="","",IFERROR(INDEX(書籍!$B$2:$B$2000,MATCH($B1102,書籍!$A$2:$A$2000,0)),"（沒建檔）"))</f>
        <v/>
      </c>
      <c r="F1102" s="9" t="str">
        <f aca="false">IF($A1102="","",IFERROR(INDEX(會員!$B$2:$B$2000,MATCH($A1102,會員!$A$2:$A$2000,0)),"（沒建檔）"))</f>
        <v/>
      </c>
      <c r="G1102" s="10" t="str">
        <f aca="false">IF($B1102="","",IF($D1102="","未還","已還"))</f>
        <v/>
      </c>
    </row>
    <row r="1103" customFormat="false" ht="15" hidden="false" customHeight="false" outlineLevel="0" collapsed="false">
      <c r="E1103" s="9" t="str">
        <f aca="false">IF($B1103="","",IFERROR(INDEX(書籍!$B$2:$B$2000,MATCH($B1103,書籍!$A$2:$A$2000,0)),"（沒建檔）"))</f>
        <v/>
      </c>
      <c r="F1103" s="9" t="str">
        <f aca="false">IF($A1103="","",IFERROR(INDEX(會員!$B$2:$B$2000,MATCH($A1103,會員!$A$2:$A$2000,0)),"（沒建檔）"))</f>
        <v/>
      </c>
      <c r="G1103" s="10" t="str">
        <f aca="false">IF($B1103="","",IF($D1103="","未還","已還"))</f>
        <v/>
      </c>
    </row>
    <row r="1104" customFormat="false" ht="15" hidden="false" customHeight="false" outlineLevel="0" collapsed="false">
      <c r="E1104" s="9" t="str">
        <f aca="false">IF($B1104="","",IFERROR(INDEX(書籍!$B$2:$B$2000,MATCH($B1104,書籍!$A$2:$A$2000,0)),"（沒建檔）"))</f>
        <v/>
      </c>
      <c r="F1104" s="9" t="str">
        <f aca="false">IF($A1104="","",IFERROR(INDEX(會員!$B$2:$B$2000,MATCH($A1104,會員!$A$2:$A$2000,0)),"（沒建檔）"))</f>
        <v/>
      </c>
      <c r="G1104" s="10" t="str">
        <f aca="false">IF($B1104="","",IF($D1104="","未還","已還"))</f>
        <v/>
      </c>
    </row>
    <row r="1105" customFormat="false" ht="15" hidden="false" customHeight="false" outlineLevel="0" collapsed="false">
      <c r="E1105" s="9" t="str">
        <f aca="false">IF($B1105="","",IFERROR(INDEX(書籍!$B$2:$B$2000,MATCH($B1105,書籍!$A$2:$A$2000,0)),"（沒建檔）"))</f>
        <v/>
      </c>
      <c r="F1105" s="9" t="str">
        <f aca="false">IF($A1105="","",IFERROR(INDEX(會員!$B$2:$B$2000,MATCH($A1105,會員!$A$2:$A$2000,0)),"（沒建檔）"))</f>
        <v/>
      </c>
      <c r="G1105" s="10" t="str">
        <f aca="false">IF($B1105="","",IF($D1105="","未還","已還"))</f>
        <v/>
      </c>
    </row>
    <row r="1106" customFormat="false" ht="15" hidden="false" customHeight="false" outlineLevel="0" collapsed="false">
      <c r="E1106" s="9" t="str">
        <f aca="false">IF($B1106="","",IFERROR(INDEX(書籍!$B$2:$B$2000,MATCH($B1106,書籍!$A$2:$A$2000,0)),"（沒建檔）"))</f>
        <v/>
      </c>
      <c r="F1106" s="9" t="str">
        <f aca="false">IF($A1106="","",IFERROR(INDEX(會員!$B$2:$B$2000,MATCH($A1106,會員!$A$2:$A$2000,0)),"（沒建檔）"))</f>
        <v/>
      </c>
      <c r="G1106" s="10" t="str">
        <f aca="false">IF($B1106="","",IF($D1106="","未還","已還"))</f>
        <v/>
      </c>
    </row>
    <row r="1107" customFormat="false" ht="15" hidden="false" customHeight="false" outlineLevel="0" collapsed="false">
      <c r="E1107" s="9" t="str">
        <f aca="false">IF($B1107="","",IFERROR(INDEX(書籍!$B$2:$B$2000,MATCH($B1107,書籍!$A$2:$A$2000,0)),"（沒建檔）"))</f>
        <v/>
      </c>
      <c r="F1107" s="9" t="str">
        <f aca="false">IF($A1107="","",IFERROR(INDEX(會員!$B$2:$B$2000,MATCH($A1107,會員!$A$2:$A$2000,0)),"（沒建檔）"))</f>
        <v/>
      </c>
      <c r="G1107" s="10" t="str">
        <f aca="false">IF($B1107="","",IF($D1107="","未還","已還"))</f>
        <v/>
      </c>
    </row>
    <row r="1108" customFormat="false" ht="15" hidden="false" customHeight="false" outlineLevel="0" collapsed="false">
      <c r="E1108" s="9" t="str">
        <f aca="false">IF($B1108="","",IFERROR(INDEX(書籍!$B$2:$B$2000,MATCH($B1108,書籍!$A$2:$A$2000,0)),"（沒建檔）"))</f>
        <v/>
      </c>
      <c r="F1108" s="9" t="str">
        <f aca="false">IF($A1108="","",IFERROR(INDEX(會員!$B$2:$B$2000,MATCH($A1108,會員!$A$2:$A$2000,0)),"（沒建檔）"))</f>
        <v/>
      </c>
      <c r="G1108" s="10" t="str">
        <f aca="false">IF($B1108="","",IF($D1108="","未還","已還"))</f>
        <v/>
      </c>
    </row>
    <row r="1109" customFormat="false" ht="15" hidden="false" customHeight="false" outlineLevel="0" collapsed="false">
      <c r="E1109" s="9" t="str">
        <f aca="false">IF($B1109="","",IFERROR(INDEX(書籍!$B$2:$B$2000,MATCH($B1109,書籍!$A$2:$A$2000,0)),"（沒建檔）"))</f>
        <v/>
      </c>
      <c r="F1109" s="9" t="str">
        <f aca="false">IF($A1109="","",IFERROR(INDEX(會員!$B$2:$B$2000,MATCH($A1109,會員!$A$2:$A$2000,0)),"（沒建檔）"))</f>
        <v/>
      </c>
      <c r="G1109" s="10" t="str">
        <f aca="false">IF($B1109="","",IF($D1109="","未還","已還"))</f>
        <v/>
      </c>
    </row>
    <row r="1110" customFormat="false" ht="15" hidden="false" customHeight="false" outlineLevel="0" collapsed="false">
      <c r="E1110" s="9" t="str">
        <f aca="false">IF($B1110="","",IFERROR(INDEX(書籍!$B$2:$B$2000,MATCH($B1110,書籍!$A$2:$A$2000,0)),"（沒建檔）"))</f>
        <v/>
      </c>
      <c r="F1110" s="9" t="str">
        <f aca="false">IF($A1110="","",IFERROR(INDEX(會員!$B$2:$B$2000,MATCH($A1110,會員!$A$2:$A$2000,0)),"（沒建檔）"))</f>
        <v/>
      </c>
      <c r="G1110" s="10" t="str">
        <f aca="false">IF($B1110="","",IF($D1110="","未還","已還"))</f>
        <v/>
      </c>
    </row>
    <row r="1111" customFormat="false" ht="15" hidden="false" customHeight="false" outlineLevel="0" collapsed="false">
      <c r="E1111" s="9" t="str">
        <f aca="false">IF($B1111="","",IFERROR(INDEX(書籍!$B$2:$B$2000,MATCH($B1111,書籍!$A$2:$A$2000,0)),"（沒建檔）"))</f>
        <v/>
      </c>
      <c r="F1111" s="9" t="str">
        <f aca="false">IF($A1111="","",IFERROR(INDEX(會員!$B$2:$B$2000,MATCH($A1111,會員!$A$2:$A$2000,0)),"（沒建檔）"))</f>
        <v/>
      </c>
      <c r="G1111" s="10" t="str">
        <f aca="false">IF($B1111="","",IF($D1111="","未還","已還"))</f>
        <v/>
      </c>
    </row>
    <row r="1112" customFormat="false" ht="15" hidden="false" customHeight="false" outlineLevel="0" collapsed="false">
      <c r="E1112" s="9" t="str">
        <f aca="false">IF($B1112="","",IFERROR(INDEX(書籍!$B$2:$B$2000,MATCH($B1112,書籍!$A$2:$A$2000,0)),"（沒建檔）"))</f>
        <v/>
      </c>
      <c r="F1112" s="9" t="str">
        <f aca="false">IF($A1112="","",IFERROR(INDEX(會員!$B$2:$B$2000,MATCH($A1112,會員!$A$2:$A$2000,0)),"（沒建檔）"))</f>
        <v/>
      </c>
      <c r="G1112" s="10" t="str">
        <f aca="false">IF($B1112="","",IF($D1112="","未還","已還"))</f>
        <v/>
      </c>
    </row>
    <row r="1113" customFormat="false" ht="15" hidden="false" customHeight="false" outlineLevel="0" collapsed="false">
      <c r="E1113" s="9" t="str">
        <f aca="false">IF($B1113="","",IFERROR(INDEX(書籍!$B$2:$B$2000,MATCH($B1113,書籍!$A$2:$A$2000,0)),"（沒建檔）"))</f>
        <v/>
      </c>
      <c r="F1113" s="9" t="str">
        <f aca="false">IF($A1113="","",IFERROR(INDEX(會員!$B$2:$B$2000,MATCH($A1113,會員!$A$2:$A$2000,0)),"（沒建檔）"))</f>
        <v/>
      </c>
      <c r="G1113" s="10" t="str">
        <f aca="false">IF($B1113="","",IF($D1113="","未還","已還"))</f>
        <v/>
      </c>
    </row>
    <row r="1114" customFormat="false" ht="15" hidden="false" customHeight="false" outlineLevel="0" collapsed="false">
      <c r="E1114" s="9" t="str">
        <f aca="false">IF($B1114="","",IFERROR(INDEX(書籍!$B$2:$B$2000,MATCH($B1114,書籍!$A$2:$A$2000,0)),"（沒建檔）"))</f>
        <v/>
      </c>
      <c r="F1114" s="9" t="str">
        <f aca="false">IF($A1114="","",IFERROR(INDEX(會員!$B$2:$B$2000,MATCH($A1114,會員!$A$2:$A$2000,0)),"（沒建檔）"))</f>
        <v/>
      </c>
      <c r="G1114" s="10" t="str">
        <f aca="false">IF($B1114="","",IF($D1114="","未還","已還"))</f>
        <v/>
      </c>
    </row>
    <row r="1115" customFormat="false" ht="15" hidden="false" customHeight="false" outlineLevel="0" collapsed="false">
      <c r="E1115" s="9" t="str">
        <f aca="false">IF($B1115="","",IFERROR(INDEX(書籍!$B$2:$B$2000,MATCH($B1115,書籍!$A$2:$A$2000,0)),"（沒建檔）"))</f>
        <v/>
      </c>
      <c r="F1115" s="9" t="str">
        <f aca="false">IF($A1115="","",IFERROR(INDEX(會員!$B$2:$B$2000,MATCH($A1115,會員!$A$2:$A$2000,0)),"（沒建檔）"))</f>
        <v/>
      </c>
      <c r="G1115" s="10" t="str">
        <f aca="false">IF($B1115="","",IF($D1115="","未還","已還"))</f>
        <v/>
      </c>
    </row>
    <row r="1116" customFormat="false" ht="15" hidden="false" customHeight="false" outlineLevel="0" collapsed="false">
      <c r="E1116" s="9" t="str">
        <f aca="false">IF($B1116="","",IFERROR(INDEX(書籍!$B$2:$B$2000,MATCH($B1116,書籍!$A$2:$A$2000,0)),"（沒建檔）"))</f>
        <v/>
      </c>
      <c r="F1116" s="9" t="str">
        <f aca="false">IF($A1116="","",IFERROR(INDEX(會員!$B$2:$B$2000,MATCH($A1116,會員!$A$2:$A$2000,0)),"（沒建檔）"))</f>
        <v/>
      </c>
      <c r="G1116" s="10" t="str">
        <f aca="false">IF($B1116="","",IF($D1116="","未還","已還"))</f>
        <v/>
      </c>
    </row>
    <row r="1117" customFormat="false" ht="15" hidden="false" customHeight="false" outlineLevel="0" collapsed="false">
      <c r="E1117" s="9" t="str">
        <f aca="false">IF($B1117="","",IFERROR(INDEX(書籍!$B$2:$B$2000,MATCH($B1117,書籍!$A$2:$A$2000,0)),"（沒建檔）"))</f>
        <v/>
      </c>
      <c r="F1117" s="9" t="str">
        <f aca="false">IF($A1117="","",IFERROR(INDEX(會員!$B$2:$B$2000,MATCH($A1117,會員!$A$2:$A$2000,0)),"（沒建檔）"))</f>
        <v/>
      </c>
      <c r="G1117" s="10" t="str">
        <f aca="false">IF($B1117="","",IF($D1117="","未還","已還"))</f>
        <v/>
      </c>
    </row>
    <row r="1118" customFormat="false" ht="15" hidden="false" customHeight="false" outlineLevel="0" collapsed="false">
      <c r="E1118" s="9" t="str">
        <f aca="false">IF($B1118="","",IFERROR(INDEX(書籍!$B$2:$B$2000,MATCH($B1118,書籍!$A$2:$A$2000,0)),"（沒建檔）"))</f>
        <v/>
      </c>
      <c r="F1118" s="9" t="str">
        <f aca="false">IF($A1118="","",IFERROR(INDEX(會員!$B$2:$B$2000,MATCH($A1118,會員!$A$2:$A$2000,0)),"（沒建檔）"))</f>
        <v/>
      </c>
      <c r="G1118" s="10" t="str">
        <f aca="false">IF($B1118="","",IF($D1118="","未還","已還"))</f>
        <v/>
      </c>
    </row>
    <row r="1119" customFormat="false" ht="15" hidden="false" customHeight="false" outlineLevel="0" collapsed="false">
      <c r="E1119" s="9" t="str">
        <f aca="false">IF($B1119="","",IFERROR(INDEX(書籍!$B$2:$B$2000,MATCH($B1119,書籍!$A$2:$A$2000,0)),"（沒建檔）"))</f>
        <v/>
      </c>
      <c r="F1119" s="9" t="str">
        <f aca="false">IF($A1119="","",IFERROR(INDEX(會員!$B$2:$B$2000,MATCH($A1119,會員!$A$2:$A$2000,0)),"（沒建檔）"))</f>
        <v/>
      </c>
      <c r="G1119" s="10" t="str">
        <f aca="false">IF($B1119="","",IF($D1119="","未還","已還"))</f>
        <v/>
      </c>
    </row>
    <row r="1120" customFormat="false" ht="15" hidden="false" customHeight="false" outlineLevel="0" collapsed="false">
      <c r="E1120" s="9" t="str">
        <f aca="false">IF($B1120="","",IFERROR(INDEX(書籍!$B$2:$B$2000,MATCH($B1120,書籍!$A$2:$A$2000,0)),"（沒建檔）"))</f>
        <v/>
      </c>
      <c r="F1120" s="9" t="str">
        <f aca="false">IF($A1120="","",IFERROR(INDEX(會員!$B$2:$B$2000,MATCH($A1120,會員!$A$2:$A$2000,0)),"（沒建檔）"))</f>
        <v/>
      </c>
      <c r="G1120" s="10" t="str">
        <f aca="false">IF($B1120="","",IF($D1120="","未還","已還"))</f>
        <v/>
      </c>
    </row>
    <row r="1121" customFormat="false" ht="15" hidden="false" customHeight="false" outlineLevel="0" collapsed="false">
      <c r="E1121" s="9" t="str">
        <f aca="false">IF($B1121="","",IFERROR(INDEX(書籍!$B$2:$B$2000,MATCH($B1121,書籍!$A$2:$A$2000,0)),"（沒建檔）"))</f>
        <v/>
      </c>
      <c r="F1121" s="9" t="str">
        <f aca="false">IF($A1121="","",IFERROR(INDEX(會員!$B$2:$B$2000,MATCH($A1121,會員!$A$2:$A$2000,0)),"（沒建檔）"))</f>
        <v/>
      </c>
      <c r="G1121" s="10" t="str">
        <f aca="false">IF($B1121="","",IF($D1121="","未還","已還"))</f>
        <v/>
      </c>
    </row>
    <row r="1122" customFormat="false" ht="15" hidden="false" customHeight="false" outlineLevel="0" collapsed="false">
      <c r="E1122" s="9" t="str">
        <f aca="false">IF($B1122="","",IFERROR(INDEX(書籍!$B$2:$B$2000,MATCH($B1122,書籍!$A$2:$A$2000,0)),"（沒建檔）"))</f>
        <v/>
      </c>
      <c r="F1122" s="9" t="str">
        <f aca="false">IF($A1122="","",IFERROR(INDEX(會員!$B$2:$B$2000,MATCH($A1122,會員!$A$2:$A$2000,0)),"（沒建檔）"))</f>
        <v/>
      </c>
      <c r="G1122" s="10" t="str">
        <f aca="false">IF($B1122="","",IF($D1122="","未還","已還"))</f>
        <v/>
      </c>
    </row>
    <row r="1123" customFormat="false" ht="15" hidden="false" customHeight="false" outlineLevel="0" collapsed="false">
      <c r="E1123" s="9" t="str">
        <f aca="false">IF($B1123="","",IFERROR(INDEX(書籍!$B$2:$B$2000,MATCH($B1123,書籍!$A$2:$A$2000,0)),"（沒建檔）"))</f>
        <v/>
      </c>
      <c r="F1123" s="9" t="str">
        <f aca="false">IF($A1123="","",IFERROR(INDEX(會員!$B$2:$B$2000,MATCH($A1123,會員!$A$2:$A$2000,0)),"（沒建檔）"))</f>
        <v/>
      </c>
      <c r="G1123" s="10" t="str">
        <f aca="false">IF($B1123="","",IF($D1123="","未還","已還"))</f>
        <v/>
      </c>
    </row>
    <row r="1124" customFormat="false" ht="15" hidden="false" customHeight="false" outlineLevel="0" collapsed="false">
      <c r="E1124" s="9" t="str">
        <f aca="false">IF($B1124="","",IFERROR(INDEX(書籍!$B$2:$B$2000,MATCH($B1124,書籍!$A$2:$A$2000,0)),"（沒建檔）"))</f>
        <v/>
      </c>
      <c r="F1124" s="9" t="str">
        <f aca="false">IF($A1124="","",IFERROR(INDEX(會員!$B$2:$B$2000,MATCH($A1124,會員!$A$2:$A$2000,0)),"（沒建檔）"))</f>
        <v/>
      </c>
      <c r="G1124" s="10" t="str">
        <f aca="false">IF($B1124="","",IF($D1124="","未還","已還"))</f>
        <v/>
      </c>
    </row>
    <row r="1125" customFormat="false" ht="15" hidden="false" customHeight="false" outlineLevel="0" collapsed="false">
      <c r="E1125" s="9" t="str">
        <f aca="false">IF($B1125="","",IFERROR(INDEX(書籍!$B$2:$B$2000,MATCH($B1125,書籍!$A$2:$A$2000,0)),"（沒建檔）"))</f>
        <v/>
      </c>
      <c r="F1125" s="9" t="str">
        <f aca="false">IF($A1125="","",IFERROR(INDEX(會員!$B$2:$B$2000,MATCH($A1125,會員!$A$2:$A$2000,0)),"（沒建檔）"))</f>
        <v/>
      </c>
      <c r="G1125" s="10" t="str">
        <f aca="false">IF($B1125="","",IF($D1125="","未還","已還"))</f>
        <v/>
      </c>
    </row>
    <row r="1126" customFormat="false" ht="15" hidden="false" customHeight="false" outlineLevel="0" collapsed="false">
      <c r="E1126" s="9" t="str">
        <f aca="false">IF($B1126="","",IFERROR(INDEX(書籍!$B$2:$B$2000,MATCH($B1126,書籍!$A$2:$A$2000,0)),"（沒建檔）"))</f>
        <v/>
      </c>
      <c r="F1126" s="9" t="str">
        <f aca="false">IF($A1126="","",IFERROR(INDEX(會員!$B$2:$B$2000,MATCH($A1126,會員!$A$2:$A$2000,0)),"（沒建檔）"))</f>
        <v/>
      </c>
      <c r="G1126" s="10" t="str">
        <f aca="false">IF($B1126="","",IF($D1126="","未還","已還"))</f>
        <v/>
      </c>
    </row>
    <row r="1127" customFormat="false" ht="15" hidden="false" customHeight="false" outlineLevel="0" collapsed="false">
      <c r="E1127" s="9" t="str">
        <f aca="false">IF($B1127="","",IFERROR(INDEX(書籍!$B$2:$B$2000,MATCH($B1127,書籍!$A$2:$A$2000,0)),"（沒建檔）"))</f>
        <v/>
      </c>
      <c r="F1127" s="9" t="str">
        <f aca="false">IF($A1127="","",IFERROR(INDEX(會員!$B$2:$B$2000,MATCH($A1127,會員!$A$2:$A$2000,0)),"（沒建檔）"))</f>
        <v/>
      </c>
      <c r="G1127" s="10" t="str">
        <f aca="false">IF($B1127="","",IF($D1127="","未還","已還"))</f>
        <v/>
      </c>
    </row>
    <row r="1128" customFormat="false" ht="15" hidden="false" customHeight="false" outlineLevel="0" collapsed="false">
      <c r="E1128" s="9" t="str">
        <f aca="false">IF($B1128="","",IFERROR(INDEX(書籍!$B$2:$B$2000,MATCH($B1128,書籍!$A$2:$A$2000,0)),"（沒建檔）"))</f>
        <v/>
      </c>
      <c r="F1128" s="9" t="str">
        <f aca="false">IF($A1128="","",IFERROR(INDEX(會員!$B$2:$B$2000,MATCH($A1128,會員!$A$2:$A$2000,0)),"（沒建檔）"))</f>
        <v/>
      </c>
      <c r="G1128" s="10" t="str">
        <f aca="false">IF($B1128="","",IF($D1128="","未還","已還"))</f>
        <v/>
      </c>
    </row>
    <row r="1129" customFormat="false" ht="15" hidden="false" customHeight="false" outlineLevel="0" collapsed="false">
      <c r="E1129" s="9" t="str">
        <f aca="false">IF($B1129="","",IFERROR(INDEX(書籍!$B$2:$B$2000,MATCH($B1129,書籍!$A$2:$A$2000,0)),"（沒建檔）"))</f>
        <v/>
      </c>
      <c r="F1129" s="9" t="str">
        <f aca="false">IF($A1129="","",IFERROR(INDEX(會員!$B$2:$B$2000,MATCH($A1129,會員!$A$2:$A$2000,0)),"（沒建檔）"))</f>
        <v/>
      </c>
      <c r="G1129" s="10" t="str">
        <f aca="false">IF($B1129="","",IF($D1129="","未還","已還"))</f>
        <v/>
      </c>
    </row>
    <row r="1130" customFormat="false" ht="15" hidden="false" customHeight="false" outlineLevel="0" collapsed="false">
      <c r="E1130" s="9" t="str">
        <f aca="false">IF($B1130="","",IFERROR(INDEX(書籍!$B$2:$B$2000,MATCH($B1130,書籍!$A$2:$A$2000,0)),"（沒建檔）"))</f>
        <v/>
      </c>
      <c r="F1130" s="9" t="str">
        <f aca="false">IF($A1130="","",IFERROR(INDEX(會員!$B$2:$B$2000,MATCH($A1130,會員!$A$2:$A$2000,0)),"（沒建檔）"))</f>
        <v/>
      </c>
      <c r="G1130" s="10" t="str">
        <f aca="false">IF($B1130="","",IF($D1130="","未還","已還"))</f>
        <v/>
      </c>
    </row>
    <row r="1131" customFormat="false" ht="15" hidden="false" customHeight="false" outlineLevel="0" collapsed="false">
      <c r="E1131" s="9" t="str">
        <f aca="false">IF($B1131="","",IFERROR(INDEX(書籍!$B$2:$B$2000,MATCH($B1131,書籍!$A$2:$A$2000,0)),"（沒建檔）"))</f>
        <v/>
      </c>
      <c r="F1131" s="9" t="str">
        <f aca="false">IF($A1131="","",IFERROR(INDEX(會員!$B$2:$B$2000,MATCH($A1131,會員!$A$2:$A$2000,0)),"（沒建檔）"))</f>
        <v/>
      </c>
      <c r="G1131" s="10" t="str">
        <f aca="false">IF($B1131="","",IF($D1131="","未還","已還"))</f>
        <v/>
      </c>
    </row>
    <row r="1132" customFormat="false" ht="15" hidden="false" customHeight="false" outlineLevel="0" collapsed="false">
      <c r="E1132" s="9" t="str">
        <f aca="false">IF($B1132="","",IFERROR(INDEX(書籍!$B$2:$B$2000,MATCH($B1132,書籍!$A$2:$A$2000,0)),"（沒建檔）"))</f>
        <v/>
      </c>
      <c r="F1132" s="9" t="str">
        <f aca="false">IF($A1132="","",IFERROR(INDEX(會員!$B$2:$B$2000,MATCH($A1132,會員!$A$2:$A$2000,0)),"（沒建檔）"))</f>
        <v/>
      </c>
      <c r="G1132" s="10" t="str">
        <f aca="false">IF($B1132="","",IF($D1132="","未還","已還"))</f>
        <v/>
      </c>
    </row>
    <row r="1133" customFormat="false" ht="15" hidden="false" customHeight="false" outlineLevel="0" collapsed="false">
      <c r="E1133" s="9" t="str">
        <f aca="false">IF($B1133="","",IFERROR(INDEX(書籍!$B$2:$B$2000,MATCH($B1133,書籍!$A$2:$A$2000,0)),"（沒建檔）"))</f>
        <v/>
      </c>
      <c r="F1133" s="9" t="str">
        <f aca="false">IF($A1133="","",IFERROR(INDEX(會員!$B$2:$B$2000,MATCH($A1133,會員!$A$2:$A$2000,0)),"（沒建檔）"))</f>
        <v/>
      </c>
      <c r="G1133" s="10" t="str">
        <f aca="false">IF($B1133="","",IF($D1133="","未還","已還"))</f>
        <v/>
      </c>
    </row>
    <row r="1134" customFormat="false" ht="15" hidden="false" customHeight="false" outlineLevel="0" collapsed="false">
      <c r="E1134" s="9" t="str">
        <f aca="false">IF($B1134="","",IFERROR(INDEX(書籍!$B$2:$B$2000,MATCH($B1134,書籍!$A$2:$A$2000,0)),"（沒建檔）"))</f>
        <v/>
      </c>
      <c r="F1134" s="9" t="str">
        <f aca="false">IF($A1134="","",IFERROR(INDEX(會員!$B$2:$B$2000,MATCH($A1134,會員!$A$2:$A$2000,0)),"（沒建檔）"))</f>
        <v/>
      </c>
      <c r="G1134" s="10" t="str">
        <f aca="false">IF($B1134="","",IF($D1134="","未還","已還"))</f>
        <v/>
      </c>
    </row>
    <row r="1135" customFormat="false" ht="15" hidden="false" customHeight="false" outlineLevel="0" collapsed="false">
      <c r="E1135" s="9" t="str">
        <f aca="false">IF($B1135="","",IFERROR(INDEX(書籍!$B$2:$B$2000,MATCH($B1135,書籍!$A$2:$A$2000,0)),"（沒建檔）"))</f>
        <v/>
      </c>
      <c r="F1135" s="9" t="str">
        <f aca="false">IF($A1135="","",IFERROR(INDEX(會員!$B$2:$B$2000,MATCH($A1135,會員!$A$2:$A$2000,0)),"（沒建檔）"))</f>
        <v/>
      </c>
      <c r="G1135" s="10" t="str">
        <f aca="false">IF($B1135="","",IF($D1135="","未還","已還"))</f>
        <v/>
      </c>
    </row>
    <row r="1136" customFormat="false" ht="15" hidden="false" customHeight="false" outlineLevel="0" collapsed="false">
      <c r="E1136" s="9" t="str">
        <f aca="false">IF($B1136="","",IFERROR(INDEX(書籍!$B$2:$B$2000,MATCH($B1136,書籍!$A$2:$A$2000,0)),"（沒建檔）"))</f>
        <v/>
      </c>
      <c r="F1136" s="9" t="str">
        <f aca="false">IF($A1136="","",IFERROR(INDEX(會員!$B$2:$B$2000,MATCH($A1136,會員!$A$2:$A$2000,0)),"（沒建檔）"))</f>
        <v/>
      </c>
      <c r="G1136" s="10" t="str">
        <f aca="false">IF($B1136="","",IF($D1136="","未還","已還"))</f>
        <v/>
      </c>
    </row>
    <row r="1137" customFormat="false" ht="15" hidden="false" customHeight="false" outlineLevel="0" collapsed="false">
      <c r="E1137" s="9" t="str">
        <f aca="false">IF($B1137="","",IFERROR(INDEX(書籍!$B$2:$B$2000,MATCH($B1137,書籍!$A$2:$A$2000,0)),"（沒建檔）"))</f>
        <v/>
      </c>
      <c r="F1137" s="9" t="str">
        <f aca="false">IF($A1137="","",IFERROR(INDEX(會員!$B$2:$B$2000,MATCH($A1137,會員!$A$2:$A$2000,0)),"（沒建檔）"))</f>
        <v/>
      </c>
      <c r="G1137" s="10" t="str">
        <f aca="false">IF($B1137="","",IF($D1137="","未還","已還"))</f>
        <v/>
      </c>
    </row>
    <row r="1138" customFormat="false" ht="15" hidden="false" customHeight="false" outlineLevel="0" collapsed="false">
      <c r="E1138" s="9" t="str">
        <f aca="false">IF($B1138="","",IFERROR(INDEX(書籍!$B$2:$B$2000,MATCH($B1138,書籍!$A$2:$A$2000,0)),"（沒建檔）"))</f>
        <v/>
      </c>
      <c r="F1138" s="9" t="str">
        <f aca="false">IF($A1138="","",IFERROR(INDEX(會員!$B$2:$B$2000,MATCH($A1138,會員!$A$2:$A$2000,0)),"（沒建檔）"))</f>
        <v/>
      </c>
      <c r="G1138" s="10" t="str">
        <f aca="false">IF($B1138="","",IF($D1138="","未還","已還"))</f>
        <v/>
      </c>
    </row>
    <row r="1139" customFormat="false" ht="15" hidden="false" customHeight="false" outlineLevel="0" collapsed="false">
      <c r="E1139" s="9" t="str">
        <f aca="false">IF($B1139="","",IFERROR(INDEX(書籍!$B$2:$B$2000,MATCH($B1139,書籍!$A$2:$A$2000,0)),"（沒建檔）"))</f>
        <v/>
      </c>
      <c r="F1139" s="9" t="str">
        <f aca="false">IF($A1139="","",IFERROR(INDEX(會員!$B$2:$B$2000,MATCH($A1139,會員!$A$2:$A$2000,0)),"（沒建檔）"))</f>
        <v/>
      </c>
      <c r="G1139" s="10" t="str">
        <f aca="false">IF($B1139="","",IF($D1139="","未還","已還"))</f>
        <v/>
      </c>
    </row>
    <row r="1140" customFormat="false" ht="15" hidden="false" customHeight="false" outlineLevel="0" collapsed="false">
      <c r="E1140" s="9" t="str">
        <f aca="false">IF($B1140="","",IFERROR(INDEX(書籍!$B$2:$B$2000,MATCH($B1140,書籍!$A$2:$A$2000,0)),"（沒建檔）"))</f>
        <v/>
      </c>
      <c r="F1140" s="9" t="str">
        <f aca="false">IF($A1140="","",IFERROR(INDEX(會員!$B$2:$B$2000,MATCH($A1140,會員!$A$2:$A$2000,0)),"（沒建檔）"))</f>
        <v/>
      </c>
      <c r="G1140" s="10" t="str">
        <f aca="false">IF($B1140="","",IF($D1140="","未還","已還"))</f>
        <v/>
      </c>
    </row>
    <row r="1141" customFormat="false" ht="15" hidden="false" customHeight="false" outlineLevel="0" collapsed="false">
      <c r="E1141" s="9" t="str">
        <f aca="false">IF($B1141="","",IFERROR(INDEX(書籍!$B$2:$B$2000,MATCH($B1141,書籍!$A$2:$A$2000,0)),"（沒建檔）"))</f>
        <v/>
      </c>
      <c r="F1141" s="9" t="str">
        <f aca="false">IF($A1141="","",IFERROR(INDEX(會員!$B$2:$B$2000,MATCH($A1141,會員!$A$2:$A$2000,0)),"（沒建檔）"))</f>
        <v/>
      </c>
      <c r="G1141" s="10" t="str">
        <f aca="false">IF($B1141="","",IF($D1141="","未還","已還"))</f>
        <v/>
      </c>
    </row>
    <row r="1142" customFormat="false" ht="15" hidden="false" customHeight="false" outlineLevel="0" collapsed="false">
      <c r="E1142" s="9" t="str">
        <f aca="false">IF($B1142="","",IFERROR(INDEX(書籍!$B$2:$B$2000,MATCH($B1142,書籍!$A$2:$A$2000,0)),"（沒建檔）"))</f>
        <v/>
      </c>
      <c r="F1142" s="9" t="str">
        <f aca="false">IF($A1142="","",IFERROR(INDEX(會員!$B$2:$B$2000,MATCH($A1142,會員!$A$2:$A$2000,0)),"（沒建檔）"))</f>
        <v/>
      </c>
      <c r="G1142" s="10" t="str">
        <f aca="false">IF($B1142="","",IF($D1142="","未還","已還"))</f>
        <v/>
      </c>
    </row>
    <row r="1143" customFormat="false" ht="15" hidden="false" customHeight="false" outlineLevel="0" collapsed="false">
      <c r="E1143" s="9" t="str">
        <f aca="false">IF($B1143="","",IFERROR(INDEX(書籍!$B$2:$B$2000,MATCH($B1143,書籍!$A$2:$A$2000,0)),"（沒建檔）"))</f>
        <v/>
      </c>
      <c r="F1143" s="9" t="str">
        <f aca="false">IF($A1143="","",IFERROR(INDEX(會員!$B$2:$B$2000,MATCH($A1143,會員!$A$2:$A$2000,0)),"（沒建檔）"))</f>
        <v/>
      </c>
      <c r="G1143" s="10" t="str">
        <f aca="false">IF($B1143="","",IF($D1143="","未還","已還"))</f>
        <v/>
      </c>
    </row>
    <row r="1144" customFormat="false" ht="15" hidden="false" customHeight="false" outlineLevel="0" collapsed="false">
      <c r="E1144" s="9" t="str">
        <f aca="false">IF($B1144="","",IFERROR(INDEX(書籍!$B$2:$B$2000,MATCH($B1144,書籍!$A$2:$A$2000,0)),"（沒建檔）"))</f>
        <v/>
      </c>
      <c r="F1144" s="9" t="str">
        <f aca="false">IF($A1144="","",IFERROR(INDEX(會員!$B$2:$B$2000,MATCH($A1144,會員!$A$2:$A$2000,0)),"（沒建檔）"))</f>
        <v/>
      </c>
      <c r="G1144" s="10" t="str">
        <f aca="false">IF($B1144="","",IF($D1144="","未還","已還"))</f>
        <v/>
      </c>
    </row>
    <row r="1145" customFormat="false" ht="15" hidden="false" customHeight="false" outlineLevel="0" collapsed="false">
      <c r="E1145" s="9" t="str">
        <f aca="false">IF($B1145="","",IFERROR(INDEX(書籍!$B$2:$B$2000,MATCH($B1145,書籍!$A$2:$A$2000,0)),"（沒建檔）"))</f>
        <v/>
      </c>
      <c r="F1145" s="9" t="str">
        <f aca="false">IF($A1145="","",IFERROR(INDEX(會員!$B$2:$B$2000,MATCH($A1145,會員!$A$2:$A$2000,0)),"（沒建檔）"))</f>
        <v/>
      </c>
      <c r="G1145" s="10" t="str">
        <f aca="false">IF($B1145="","",IF($D1145="","未還","已還"))</f>
        <v/>
      </c>
    </row>
    <row r="1146" customFormat="false" ht="15" hidden="false" customHeight="false" outlineLevel="0" collapsed="false">
      <c r="E1146" s="9" t="str">
        <f aca="false">IF($B1146="","",IFERROR(INDEX(書籍!$B$2:$B$2000,MATCH($B1146,書籍!$A$2:$A$2000,0)),"（沒建檔）"))</f>
        <v/>
      </c>
      <c r="F1146" s="9" t="str">
        <f aca="false">IF($A1146="","",IFERROR(INDEX(會員!$B$2:$B$2000,MATCH($A1146,會員!$A$2:$A$2000,0)),"（沒建檔）"))</f>
        <v/>
      </c>
      <c r="G1146" s="10" t="str">
        <f aca="false">IF($B1146="","",IF($D1146="","未還","已還"))</f>
        <v/>
      </c>
    </row>
    <row r="1147" customFormat="false" ht="15" hidden="false" customHeight="false" outlineLevel="0" collapsed="false">
      <c r="E1147" s="9" t="str">
        <f aca="false">IF($B1147="","",IFERROR(INDEX(書籍!$B$2:$B$2000,MATCH($B1147,書籍!$A$2:$A$2000,0)),"（沒建檔）"))</f>
        <v/>
      </c>
      <c r="F1147" s="9" t="str">
        <f aca="false">IF($A1147="","",IFERROR(INDEX(會員!$B$2:$B$2000,MATCH($A1147,會員!$A$2:$A$2000,0)),"（沒建檔）"))</f>
        <v/>
      </c>
      <c r="G1147" s="10" t="str">
        <f aca="false">IF($B1147="","",IF($D1147="","未還","已還"))</f>
        <v/>
      </c>
    </row>
    <row r="1148" customFormat="false" ht="15" hidden="false" customHeight="false" outlineLevel="0" collapsed="false">
      <c r="E1148" s="9" t="str">
        <f aca="false">IF($B1148="","",IFERROR(INDEX(書籍!$B$2:$B$2000,MATCH($B1148,書籍!$A$2:$A$2000,0)),"（沒建檔）"))</f>
        <v/>
      </c>
      <c r="F1148" s="9" t="str">
        <f aca="false">IF($A1148="","",IFERROR(INDEX(會員!$B$2:$B$2000,MATCH($A1148,會員!$A$2:$A$2000,0)),"（沒建檔）"))</f>
        <v/>
      </c>
      <c r="G1148" s="10" t="str">
        <f aca="false">IF($B1148="","",IF($D1148="","未還","已還"))</f>
        <v/>
      </c>
    </row>
    <row r="1149" customFormat="false" ht="15" hidden="false" customHeight="false" outlineLevel="0" collapsed="false">
      <c r="E1149" s="9" t="str">
        <f aca="false">IF($B1149="","",IFERROR(INDEX(書籍!$B$2:$B$2000,MATCH($B1149,書籍!$A$2:$A$2000,0)),"（沒建檔）"))</f>
        <v/>
      </c>
      <c r="F1149" s="9" t="str">
        <f aca="false">IF($A1149="","",IFERROR(INDEX(會員!$B$2:$B$2000,MATCH($A1149,會員!$A$2:$A$2000,0)),"（沒建檔）"))</f>
        <v/>
      </c>
      <c r="G1149" s="10" t="str">
        <f aca="false">IF($B1149="","",IF($D1149="","未還","已還"))</f>
        <v/>
      </c>
    </row>
    <row r="1150" customFormat="false" ht="15" hidden="false" customHeight="false" outlineLevel="0" collapsed="false">
      <c r="E1150" s="9" t="str">
        <f aca="false">IF($B1150="","",IFERROR(INDEX(書籍!$B$2:$B$2000,MATCH($B1150,書籍!$A$2:$A$2000,0)),"（沒建檔）"))</f>
        <v/>
      </c>
      <c r="F1150" s="9" t="str">
        <f aca="false">IF($A1150="","",IFERROR(INDEX(會員!$B$2:$B$2000,MATCH($A1150,會員!$A$2:$A$2000,0)),"（沒建檔）"))</f>
        <v/>
      </c>
      <c r="G1150" s="10" t="str">
        <f aca="false">IF($B1150="","",IF($D1150="","未還","已還"))</f>
        <v/>
      </c>
    </row>
    <row r="1151" customFormat="false" ht="15" hidden="false" customHeight="false" outlineLevel="0" collapsed="false">
      <c r="E1151" s="9" t="str">
        <f aca="false">IF($B1151="","",IFERROR(INDEX(書籍!$B$2:$B$2000,MATCH($B1151,書籍!$A$2:$A$2000,0)),"（沒建檔）"))</f>
        <v/>
      </c>
      <c r="F1151" s="9" t="str">
        <f aca="false">IF($A1151="","",IFERROR(INDEX(會員!$B$2:$B$2000,MATCH($A1151,會員!$A$2:$A$2000,0)),"（沒建檔）"))</f>
        <v/>
      </c>
      <c r="G1151" s="10" t="str">
        <f aca="false">IF($B1151="","",IF($D1151="","未還","已還"))</f>
        <v/>
      </c>
    </row>
    <row r="1152" customFormat="false" ht="15" hidden="false" customHeight="false" outlineLevel="0" collapsed="false">
      <c r="E1152" s="9" t="str">
        <f aca="false">IF($B1152="","",IFERROR(INDEX(書籍!$B$2:$B$2000,MATCH($B1152,書籍!$A$2:$A$2000,0)),"（沒建檔）"))</f>
        <v/>
      </c>
      <c r="F1152" s="9" t="str">
        <f aca="false">IF($A1152="","",IFERROR(INDEX(會員!$B$2:$B$2000,MATCH($A1152,會員!$A$2:$A$2000,0)),"（沒建檔）"))</f>
        <v/>
      </c>
      <c r="G1152" s="10" t="str">
        <f aca="false">IF($B1152="","",IF($D1152="","未還","已還"))</f>
        <v/>
      </c>
    </row>
    <row r="1153" customFormat="false" ht="15" hidden="false" customHeight="false" outlineLevel="0" collapsed="false">
      <c r="E1153" s="9" t="str">
        <f aca="false">IF($B1153="","",IFERROR(INDEX(書籍!$B$2:$B$2000,MATCH($B1153,書籍!$A$2:$A$2000,0)),"（沒建檔）"))</f>
        <v/>
      </c>
      <c r="F1153" s="9" t="str">
        <f aca="false">IF($A1153="","",IFERROR(INDEX(會員!$B$2:$B$2000,MATCH($A1153,會員!$A$2:$A$2000,0)),"（沒建檔）"))</f>
        <v/>
      </c>
      <c r="G1153" s="10" t="str">
        <f aca="false">IF($B1153="","",IF($D1153="","未還","已還"))</f>
        <v/>
      </c>
    </row>
    <row r="1154" customFormat="false" ht="15" hidden="false" customHeight="false" outlineLevel="0" collapsed="false">
      <c r="E1154" s="9" t="str">
        <f aca="false">IF($B1154="","",IFERROR(INDEX(書籍!$B$2:$B$2000,MATCH($B1154,書籍!$A$2:$A$2000,0)),"（沒建檔）"))</f>
        <v/>
      </c>
      <c r="F1154" s="9" t="str">
        <f aca="false">IF($A1154="","",IFERROR(INDEX(會員!$B$2:$B$2000,MATCH($A1154,會員!$A$2:$A$2000,0)),"（沒建檔）"))</f>
        <v/>
      </c>
      <c r="G1154" s="10" t="str">
        <f aca="false">IF($B1154="","",IF($D1154="","未還","已還"))</f>
        <v/>
      </c>
    </row>
    <row r="1155" customFormat="false" ht="15" hidden="false" customHeight="false" outlineLevel="0" collapsed="false">
      <c r="E1155" s="9" t="str">
        <f aca="false">IF($B1155="","",IFERROR(INDEX(書籍!$B$2:$B$2000,MATCH($B1155,書籍!$A$2:$A$2000,0)),"（沒建檔）"))</f>
        <v/>
      </c>
      <c r="F1155" s="9" t="str">
        <f aca="false">IF($A1155="","",IFERROR(INDEX(會員!$B$2:$B$2000,MATCH($A1155,會員!$A$2:$A$2000,0)),"（沒建檔）"))</f>
        <v/>
      </c>
      <c r="G1155" s="10" t="str">
        <f aca="false">IF($B1155="","",IF($D1155="","未還","已還"))</f>
        <v/>
      </c>
    </row>
    <row r="1156" customFormat="false" ht="15" hidden="false" customHeight="false" outlineLevel="0" collapsed="false">
      <c r="E1156" s="9" t="str">
        <f aca="false">IF($B1156="","",IFERROR(INDEX(書籍!$B$2:$B$2000,MATCH($B1156,書籍!$A$2:$A$2000,0)),"（沒建檔）"))</f>
        <v/>
      </c>
      <c r="F1156" s="9" t="str">
        <f aca="false">IF($A1156="","",IFERROR(INDEX(會員!$B$2:$B$2000,MATCH($A1156,會員!$A$2:$A$2000,0)),"（沒建檔）"))</f>
        <v/>
      </c>
      <c r="G1156" s="10" t="str">
        <f aca="false">IF($B1156="","",IF($D1156="","未還","已還"))</f>
        <v/>
      </c>
    </row>
    <row r="1157" customFormat="false" ht="15" hidden="false" customHeight="false" outlineLevel="0" collapsed="false">
      <c r="E1157" s="9" t="str">
        <f aca="false">IF($B1157="","",IFERROR(INDEX(書籍!$B$2:$B$2000,MATCH($B1157,書籍!$A$2:$A$2000,0)),"（沒建檔）"))</f>
        <v/>
      </c>
      <c r="F1157" s="9" t="str">
        <f aca="false">IF($A1157="","",IFERROR(INDEX(會員!$B$2:$B$2000,MATCH($A1157,會員!$A$2:$A$2000,0)),"（沒建檔）"))</f>
        <v/>
      </c>
      <c r="G1157" s="10" t="str">
        <f aca="false">IF($B1157="","",IF($D1157="","未還","已還"))</f>
        <v/>
      </c>
    </row>
    <row r="1158" customFormat="false" ht="15" hidden="false" customHeight="false" outlineLevel="0" collapsed="false">
      <c r="E1158" s="9" t="str">
        <f aca="false">IF($B1158="","",IFERROR(INDEX(書籍!$B$2:$B$2000,MATCH($B1158,書籍!$A$2:$A$2000,0)),"（沒建檔）"))</f>
        <v/>
      </c>
      <c r="F1158" s="9" t="str">
        <f aca="false">IF($A1158="","",IFERROR(INDEX(會員!$B$2:$B$2000,MATCH($A1158,會員!$A$2:$A$2000,0)),"（沒建檔）"))</f>
        <v/>
      </c>
      <c r="G1158" s="10" t="str">
        <f aca="false">IF($B1158="","",IF($D1158="","未還","已還"))</f>
        <v/>
      </c>
    </row>
    <row r="1159" customFormat="false" ht="15" hidden="false" customHeight="false" outlineLevel="0" collapsed="false">
      <c r="E1159" s="9" t="str">
        <f aca="false">IF($B1159="","",IFERROR(INDEX(書籍!$B$2:$B$2000,MATCH($B1159,書籍!$A$2:$A$2000,0)),"（沒建檔）"))</f>
        <v/>
      </c>
      <c r="F1159" s="9" t="str">
        <f aca="false">IF($A1159="","",IFERROR(INDEX(會員!$B$2:$B$2000,MATCH($A1159,會員!$A$2:$A$2000,0)),"（沒建檔）"))</f>
        <v/>
      </c>
      <c r="G1159" s="10" t="str">
        <f aca="false">IF($B1159="","",IF($D1159="","未還","已還"))</f>
        <v/>
      </c>
    </row>
    <row r="1160" customFormat="false" ht="15" hidden="false" customHeight="false" outlineLevel="0" collapsed="false">
      <c r="E1160" s="9" t="str">
        <f aca="false">IF($B1160="","",IFERROR(INDEX(書籍!$B$2:$B$2000,MATCH($B1160,書籍!$A$2:$A$2000,0)),"（沒建檔）"))</f>
        <v/>
      </c>
      <c r="F1160" s="9" t="str">
        <f aca="false">IF($A1160="","",IFERROR(INDEX(會員!$B$2:$B$2000,MATCH($A1160,會員!$A$2:$A$2000,0)),"（沒建檔）"))</f>
        <v/>
      </c>
      <c r="G1160" s="10" t="str">
        <f aca="false">IF($B1160="","",IF($D1160="","未還","已還"))</f>
        <v/>
      </c>
    </row>
    <row r="1161" customFormat="false" ht="15" hidden="false" customHeight="false" outlineLevel="0" collapsed="false">
      <c r="E1161" s="9" t="str">
        <f aca="false">IF($B1161="","",IFERROR(INDEX(書籍!$B$2:$B$2000,MATCH($B1161,書籍!$A$2:$A$2000,0)),"（沒建檔）"))</f>
        <v/>
      </c>
      <c r="F1161" s="9" t="str">
        <f aca="false">IF($A1161="","",IFERROR(INDEX(會員!$B$2:$B$2000,MATCH($A1161,會員!$A$2:$A$2000,0)),"（沒建檔）"))</f>
        <v/>
      </c>
      <c r="G1161" s="10" t="str">
        <f aca="false">IF($B1161="","",IF($D1161="","未還","已還"))</f>
        <v/>
      </c>
    </row>
    <row r="1162" customFormat="false" ht="15" hidden="false" customHeight="false" outlineLevel="0" collapsed="false">
      <c r="E1162" s="9" t="str">
        <f aca="false">IF($B1162="","",IFERROR(INDEX(書籍!$B$2:$B$2000,MATCH($B1162,書籍!$A$2:$A$2000,0)),"（沒建檔）"))</f>
        <v/>
      </c>
      <c r="F1162" s="9" t="str">
        <f aca="false">IF($A1162="","",IFERROR(INDEX(會員!$B$2:$B$2000,MATCH($A1162,會員!$A$2:$A$2000,0)),"（沒建檔）"))</f>
        <v/>
      </c>
      <c r="G1162" s="10" t="str">
        <f aca="false">IF($B1162="","",IF($D1162="","未還","已還"))</f>
        <v/>
      </c>
    </row>
    <row r="1163" customFormat="false" ht="15" hidden="false" customHeight="false" outlineLevel="0" collapsed="false">
      <c r="E1163" s="9" t="str">
        <f aca="false">IF($B1163="","",IFERROR(INDEX(書籍!$B$2:$B$2000,MATCH($B1163,書籍!$A$2:$A$2000,0)),"（沒建檔）"))</f>
        <v/>
      </c>
      <c r="F1163" s="9" t="str">
        <f aca="false">IF($A1163="","",IFERROR(INDEX(會員!$B$2:$B$2000,MATCH($A1163,會員!$A$2:$A$2000,0)),"（沒建檔）"))</f>
        <v/>
      </c>
      <c r="G1163" s="10" t="str">
        <f aca="false">IF($B1163="","",IF($D1163="","未還","已還"))</f>
        <v/>
      </c>
    </row>
    <row r="1164" customFormat="false" ht="15" hidden="false" customHeight="false" outlineLevel="0" collapsed="false">
      <c r="E1164" s="9" t="str">
        <f aca="false">IF($B1164="","",IFERROR(INDEX(書籍!$B$2:$B$2000,MATCH($B1164,書籍!$A$2:$A$2000,0)),"（沒建檔）"))</f>
        <v/>
      </c>
      <c r="F1164" s="9" t="str">
        <f aca="false">IF($A1164="","",IFERROR(INDEX(會員!$B$2:$B$2000,MATCH($A1164,會員!$A$2:$A$2000,0)),"（沒建檔）"))</f>
        <v/>
      </c>
      <c r="G1164" s="10" t="str">
        <f aca="false">IF($B1164="","",IF($D1164="","未還","已還"))</f>
        <v/>
      </c>
    </row>
    <row r="1165" customFormat="false" ht="15" hidden="false" customHeight="false" outlineLevel="0" collapsed="false">
      <c r="E1165" s="9" t="str">
        <f aca="false">IF($B1165="","",IFERROR(INDEX(書籍!$B$2:$B$2000,MATCH($B1165,書籍!$A$2:$A$2000,0)),"（沒建檔）"))</f>
        <v/>
      </c>
      <c r="F1165" s="9" t="str">
        <f aca="false">IF($A1165="","",IFERROR(INDEX(會員!$B$2:$B$2000,MATCH($A1165,會員!$A$2:$A$2000,0)),"（沒建檔）"))</f>
        <v/>
      </c>
      <c r="G1165" s="10" t="str">
        <f aca="false">IF($B1165="","",IF($D1165="","未還","已還"))</f>
        <v/>
      </c>
    </row>
    <row r="1166" customFormat="false" ht="15" hidden="false" customHeight="false" outlineLevel="0" collapsed="false">
      <c r="E1166" s="9" t="str">
        <f aca="false">IF($B1166="","",IFERROR(INDEX(書籍!$B$2:$B$2000,MATCH($B1166,書籍!$A$2:$A$2000,0)),"（沒建檔）"))</f>
        <v/>
      </c>
      <c r="F1166" s="9" t="str">
        <f aca="false">IF($A1166="","",IFERROR(INDEX(會員!$B$2:$B$2000,MATCH($A1166,會員!$A$2:$A$2000,0)),"（沒建檔）"))</f>
        <v/>
      </c>
      <c r="G1166" s="10" t="str">
        <f aca="false">IF($B1166="","",IF($D1166="","未還","已還"))</f>
        <v/>
      </c>
    </row>
    <row r="1167" customFormat="false" ht="15" hidden="false" customHeight="false" outlineLevel="0" collapsed="false">
      <c r="E1167" s="9" t="str">
        <f aca="false">IF($B1167="","",IFERROR(INDEX(書籍!$B$2:$B$2000,MATCH($B1167,書籍!$A$2:$A$2000,0)),"（沒建檔）"))</f>
        <v/>
      </c>
      <c r="F1167" s="9" t="str">
        <f aca="false">IF($A1167="","",IFERROR(INDEX(會員!$B$2:$B$2000,MATCH($A1167,會員!$A$2:$A$2000,0)),"（沒建檔）"))</f>
        <v/>
      </c>
      <c r="G1167" s="10" t="str">
        <f aca="false">IF($B1167="","",IF($D1167="","未還","已還"))</f>
        <v/>
      </c>
    </row>
    <row r="1168" customFormat="false" ht="15" hidden="false" customHeight="false" outlineLevel="0" collapsed="false">
      <c r="E1168" s="9" t="str">
        <f aca="false">IF($B1168="","",IFERROR(INDEX(書籍!$B$2:$B$2000,MATCH($B1168,書籍!$A$2:$A$2000,0)),"（沒建檔）"))</f>
        <v/>
      </c>
      <c r="F1168" s="9" t="str">
        <f aca="false">IF($A1168="","",IFERROR(INDEX(會員!$B$2:$B$2000,MATCH($A1168,會員!$A$2:$A$2000,0)),"（沒建檔）"))</f>
        <v/>
      </c>
      <c r="G1168" s="10" t="str">
        <f aca="false">IF($B1168="","",IF($D1168="","未還","已還"))</f>
        <v/>
      </c>
    </row>
    <row r="1169" customFormat="false" ht="15" hidden="false" customHeight="false" outlineLevel="0" collapsed="false">
      <c r="E1169" s="9" t="str">
        <f aca="false">IF($B1169="","",IFERROR(INDEX(書籍!$B$2:$B$2000,MATCH($B1169,書籍!$A$2:$A$2000,0)),"（沒建檔）"))</f>
        <v/>
      </c>
      <c r="F1169" s="9" t="str">
        <f aca="false">IF($A1169="","",IFERROR(INDEX(會員!$B$2:$B$2000,MATCH($A1169,會員!$A$2:$A$2000,0)),"（沒建檔）"))</f>
        <v/>
      </c>
      <c r="G1169" s="10" t="str">
        <f aca="false">IF($B1169="","",IF($D1169="","未還","已還"))</f>
        <v/>
      </c>
    </row>
    <row r="1170" customFormat="false" ht="15" hidden="false" customHeight="false" outlineLevel="0" collapsed="false">
      <c r="E1170" s="9" t="str">
        <f aca="false">IF($B1170="","",IFERROR(INDEX(書籍!$B$2:$B$2000,MATCH($B1170,書籍!$A$2:$A$2000,0)),"（沒建檔）"))</f>
        <v/>
      </c>
      <c r="F1170" s="9" t="str">
        <f aca="false">IF($A1170="","",IFERROR(INDEX(會員!$B$2:$B$2000,MATCH($A1170,會員!$A$2:$A$2000,0)),"（沒建檔）"))</f>
        <v/>
      </c>
      <c r="G1170" s="10" t="str">
        <f aca="false">IF($B1170="","",IF($D1170="","未還","已還"))</f>
        <v/>
      </c>
    </row>
    <row r="1171" customFormat="false" ht="15" hidden="false" customHeight="false" outlineLevel="0" collapsed="false">
      <c r="E1171" s="9" t="str">
        <f aca="false">IF($B1171="","",IFERROR(INDEX(書籍!$B$2:$B$2000,MATCH($B1171,書籍!$A$2:$A$2000,0)),"（沒建檔）"))</f>
        <v/>
      </c>
      <c r="F1171" s="9" t="str">
        <f aca="false">IF($A1171="","",IFERROR(INDEX(會員!$B$2:$B$2000,MATCH($A1171,會員!$A$2:$A$2000,0)),"（沒建檔）"))</f>
        <v/>
      </c>
      <c r="G1171" s="10" t="str">
        <f aca="false">IF($B1171="","",IF($D1171="","未還","已還"))</f>
        <v/>
      </c>
    </row>
    <row r="1172" customFormat="false" ht="15" hidden="false" customHeight="false" outlineLevel="0" collapsed="false">
      <c r="E1172" s="9" t="str">
        <f aca="false">IF($B1172="","",IFERROR(INDEX(書籍!$B$2:$B$2000,MATCH($B1172,書籍!$A$2:$A$2000,0)),"（沒建檔）"))</f>
        <v/>
      </c>
      <c r="F1172" s="9" t="str">
        <f aca="false">IF($A1172="","",IFERROR(INDEX(會員!$B$2:$B$2000,MATCH($A1172,會員!$A$2:$A$2000,0)),"（沒建檔）"))</f>
        <v/>
      </c>
      <c r="G1172" s="10" t="str">
        <f aca="false">IF($B1172="","",IF($D1172="","未還","已還"))</f>
        <v/>
      </c>
    </row>
    <row r="1173" customFormat="false" ht="15" hidden="false" customHeight="false" outlineLevel="0" collapsed="false">
      <c r="E1173" s="9" t="str">
        <f aca="false">IF($B1173="","",IFERROR(INDEX(書籍!$B$2:$B$2000,MATCH($B1173,書籍!$A$2:$A$2000,0)),"（沒建檔）"))</f>
        <v/>
      </c>
      <c r="F1173" s="9" t="str">
        <f aca="false">IF($A1173="","",IFERROR(INDEX(會員!$B$2:$B$2000,MATCH($A1173,會員!$A$2:$A$2000,0)),"（沒建檔）"))</f>
        <v/>
      </c>
      <c r="G1173" s="10" t="str">
        <f aca="false">IF($B1173="","",IF($D1173="","未還","已還"))</f>
        <v/>
      </c>
    </row>
    <row r="1174" customFormat="false" ht="15" hidden="false" customHeight="false" outlineLevel="0" collapsed="false">
      <c r="E1174" s="9" t="str">
        <f aca="false">IF($B1174="","",IFERROR(INDEX(書籍!$B$2:$B$2000,MATCH($B1174,書籍!$A$2:$A$2000,0)),"（沒建檔）"))</f>
        <v/>
      </c>
      <c r="F1174" s="9" t="str">
        <f aca="false">IF($A1174="","",IFERROR(INDEX(會員!$B$2:$B$2000,MATCH($A1174,會員!$A$2:$A$2000,0)),"（沒建檔）"))</f>
        <v/>
      </c>
      <c r="G1174" s="10" t="str">
        <f aca="false">IF($B1174="","",IF($D1174="","未還","已還"))</f>
        <v/>
      </c>
    </row>
    <row r="1175" customFormat="false" ht="15" hidden="false" customHeight="false" outlineLevel="0" collapsed="false">
      <c r="E1175" s="9" t="str">
        <f aca="false">IF($B1175="","",IFERROR(INDEX(書籍!$B$2:$B$2000,MATCH($B1175,書籍!$A$2:$A$2000,0)),"（沒建檔）"))</f>
        <v/>
      </c>
      <c r="F1175" s="9" t="str">
        <f aca="false">IF($A1175="","",IFERROR(INDEX(會員!$B$2:$B$2000,MATCH($A1175,會員!$A$2:$A$2000,0)),"（沒建檔）"))</f>
        <v/>
      </c>
      <c r="G1175" s="10" t="str">
        <f aca="false">IF($B1175="","",IF($D1175="","未還","已還"))</f>
        <v/>
      </c>
    </row>
    <row r="1176" customFormat="false" ht="15" hidden="false" customHeight="false" outlineLevel="0" collapsed="false">
      <c r="E1176" s="9" t="str">
        <f aca="false">IF($B1176="","",IFERROR(INDEX(書籍!$B$2:$B$2000,MATCH($B1176,書籍!$A$2:$A$2000,0)),"（沒建檔）"))</f>
        <v/>
      </c>
      <c r="F1176" s="9" t="str">
        <f aca="false">IF($A1176="","",IFERROR(INDEX(會員!$B$2:$B$2000,MATCH($A1176,會員!$A$2:$A$2000,0)),"（沒建檔）"))</f>
        <v/>
      </c>
      <c r="G1176" s="10" t="str">
        <f aca="false">IF($B1176="","",IF($D1176="","未還","已還"))</f>
        <v/>
      </c>
    </row>
    <row r="1177" customFormat="false" ht="15" hidden="false" customHeight="false" outlineLevel="0" collapsed="false">
      <c r="E1177" s="9" t="str">
        <f aca="false">IF($B1177="","",IFERROR(INDEX(書籍!$B$2:$B$2000,MATCH($B1177,書籍!$A$2:$A$2000,0)),"（沒建檔）"))</f>
        <v/>
      </c>
      <c r="F1177" s="9" t="str">
        <f aca="false">IF($A1177="","",IFERROR(INDEX(會員!$B$2:$B$2000,MATCH($A1177,會員!$A$2:$A$2000,0)),"（沒建檔）"))</f>
        <v/>
      </c>
      <c r="G1177" s="10" t="str">
        <f aca="false">IF($B1177="","",IF($D1177="","未還","已還"))</f>
        <v/>
      </c>
    </row>
    <row r="1178" customFormat="false" ht="15" hidden="false" customHeight="false" outlineLevel="0" collapsed="false">
      <c r="E1178" s="9" t="str">
        <f aca="false">IF($B1178="","",IFERROR(INDEX(書籍!$B$2:$B$2000,MATCH($B1178,書籍!$A$2:$A$2000,0)),"（沒建檔）"))</f>
        <v/>
      </c>
      <c r="F1178" s="9" t="str">
        <f aca="false">IF($A1178="","",IFERROR(INDEX(會員!$B$2:$B$2000,MATCH($A1178,會員!$A$2:$A$2000,0)),"（沒建檔）"))</f>
        <v/>
      </c>
      <c r="G1178" s="10" t="str">
        <f aca="false">IF($B1178="","",IF($D1178="","未還","已還"))</f>
        <v/>
      </c>
    </row>
    <row r="1179" customFormat="false" ht="15" hidden="false" customHeight="false" outlineLevel="0" collapsed="false">
      <c r="E1179" s="9" t="str">
        <f aca="false">IF($B1179="","",IFERROR(INDEX(書籍!$B$2:$B$2000,MATCH($B1179,書籍!$A$2:$A$2000,0)),"（沒建檔）"))</f>
        <v/>
      </c>
      <c r="F1179" s="9" t="str">
        <f aca="false">IF($A1179="","",IFERROR(INDEX(會員!$B$2:$B$2000,MATCH($A1179,會員!$A$2:$A$2000,0)),"（沒建檔）"))</f>
        <v/>
      </c>
      <c r="G1179" s="10" t="str">
        <f aca="false">IF($B1179="","",IF($D1179="","未還","已還"))</f>
        <v/>
      </c>
    </row>
    <row r="1180" customFormat="false" ht="15" hidden="false" customHeight="false" outlineLevel="0" collapsed="false">
      <c r="E1180" s="9" t="str">
        <f aca="false">IF($B1180="","",IFERROR(INDEX(書籍!$B$2:$B$2000,MATCH($B1180,書籍!$A$2:$A$2000,0)),"（沒建檔）"))</f>
        <v/>
      </c>
      <c r="F1180" s="9" t="str">
        <f aca="false">IF($A1180="","",IFERROR(INDEX(會員!$B$2:$B$2000,MATCH($A1180,會員!$A$2:$A$2000,0)),"（沒建檔）"))</f>
        <v/>
      </c>
      <c r="G1180" s="10" t="str">
        <f aca="false">IF($B1180="","",IF($D1180="","未還","已還"))</f>
        <v/>
      </c>
    </row>
    <row r="1181" customFormat="false" ht="15" hidden="false" customHeight="false" outlineLevel="0" collapsed="false">
      <c r="E1181" s="9" t="str">
        <f aca="false">IF($B1181="","",IFERROR(INDEX(書籍!$B$2:$B$2000,MATCH($B1181,書籍!$A$2:$A$2000,0)),"（沒建檔）"))</f>
        <v/>
      </c>
      <c r="F1181" s="9" t="str">
        <f aca="false">IF($A1181="","",IFERROR(INDEX(會員!$B$2:$B$2000,MATCH($A1181,會員!$A$2:$A$2000,0)),"（沒建檔）"))</f>
        <v/>
      </c>
      <c r="G1181" s="10" t="str">
        <f aca="false">IF($B1181="","",IF($D1181="","未還","已還"))</f>
        <v/>
      </c>
    </row>
    <row r="1182" customFormat="false" ht="15" hidden="false" customHeight="false" outlineLevel="0" collapsed="false">
      <c r="E1182" s="9" t="str">
        <f aca="false">IF($B1182="","",IFERROR(INDEX(書籍!$B$2:$B$2000,MATCH($B1182,書籍!$A$2:$A$2000,0)),"（沒建檔）"))</f>
        <v/>
      </c>
      <c r="F1182" s="9" t="str">
        <f aca="false">IF($A1182="","",IFERROR(INDEX(會員!$B$2:$B$2000,MATCH($A1182,會員!$A$2:$A$2000,0)),"（沒建檔）"))</f>
        <v/>
      </c>
      <c r="G1182" s="10" t="str">
        <f aca="false">IF($B1182="","",IF($D1182="","未還","已還"))</f>
        <v/>
      </c>
    </row>
    <row r="1183" customFormat="false" ht="15" hidden="false" customHeight="false" outlineLevel="0" collapsed="false">
      <c r="E1183" s="9" t="str">
        <f aca="false">IF($B1183="","",IFERROR(INDEX(書籍!$B$2:$B$2000,MATCH($B1183,書籍!$A$2:$A$2000,0)),"（沒建檔）"))</f>
        <v/>
      </c>
      <c r="F1183" s="9" t="str">
        <f aca="false">IF($A1183="","",IFERROR(INDEX(會員!$B$2:$B$2000,MATCH($A1183,會員!$A$2:$A$2000,0)),"（沒建檔）"))</f>
        <v/>
      </c>
      <c r="G1183" s="10" t="str">
        <f aca="false">IF($B1183="","",IF($D1183="","未還","已還"))</f>
        <v/>
      </c>
    </row>
    <row r="1184" customFormat="false" ht="15" hidden="false" customHeight="false" outlineLevel="0" collapsed="false">
      <c r="E1184" s="9" t="str">
        <f aca="false">IF($B1184="","",IFERROR(INDEX(書籍!$B$2:$B$2000,MATCH($B1184,書籍!$A$2:$A$2000,0)),"（沒建檔）"))</f>
        <v/>
      </c>
      <c r="F1184" s="9" t="str">
        <f aca="false">IF($A1184="","",IFERROR(INDEX(會員!$B$2:$B$2000,MATCH($A1184,會員!$A$2:$A$2000,0)),"（沒建檔）"))</f>
        <v/>
      </c>
      <c r="G1184" s="10" t="str">
        <f aca="false">IF($B1184="","",IF($D1184="","未還","已還"))</f>
        <v/>
      </c>
    </row>
    <row r="1185" customFormat="false" ht="15" hidden="false" customHeight="false" outlineLevel="0" collapsed="false">
      <c r="E1185" s="9" t="str">
        <f aca="false">IF($B1185="","",IFERROR(INDEX(書籍!$B$2:$B$2000,MATCH($B1185,書籍!$A$2:$A$2000,0)),"（沒建檔）"))</f>
        <v/>
      </c>
      <c r="F1185" s="9" t="str">
        <f aca="false">IF($A1185="","",IFERROR(INDEX(會員!$B$2:$B$2000,MATCH($A1185,會員!$A$2:$A$2000,0)),"（沒建檔）"))</f>
        <v/>
      </c>
      <c r="G1185" s="10" t="str">
        <f aca="false">IF($B1185="","",IF($D1185="","未還","已還"))</f>
        <v/>
      </c>
    </row>
    <row r="1186" customFormat="false" ht="15" hidden="false" customHeight="false" outlineLevel="0" collapsed="false">
      <c r="E1186" s="9" t="str">
        <f aca="false">IF($B1186="","",IFERROR(INDEX(書籍!$B$2:$B$2000,MATCH($B1186,書籍!$A$2:$A$2000,0)),"（沒建檔）"))</f>
        <v/>
      </c>
      <c r="F1186" s="9" t="str">
        <f aca="false">IF($A1186="","",IFERROR(INDEX(會員!$B$2:$B$2000,MATCH($A1186,會員!$A$2:$A$2000,0)),"（沒建檔）"))</f>
        <v/>
      </c>
      <c r="G1186" s="10" t="str">
        <f aca="false">IF($B1186="","",IF($D1186="","未還","已還"))</f>
        <v/>
      </c>
    </row>
    <row r="1187" customFormat="false" ht="15" hidden="false" customHeight="false" outlineLevel="0" collapsed="false">
      <c r="E1187" s="9" t="str">
        <f aca="false">IF($B1187="","",IFERROR(INDEX(書籍!$B$2:$B$2000,MATCH($B1187,書籍!$A$2:$A$2000,0)),"（沒建檔）"))</f>
        <v/>
      </c>
      <c r="F1187" s="9" t="str">
        <f aca="false">IF($A1187="","",IFERROR(INDEX(會員!$B$2:$B$2000,MATCH($A1187,會員!$A$2:$A$2000,0)),"（沒建檔）"))</f>
        <v/>
      </c>
      <c r="G1187" s="10" t="str">
        <f aca="false">IF($B1187="","",IF($D1187="","未還","已還"))</f>
        <v/>
      </c>
    </row>
    <row r="1188" customFormat="false" ht="15" hidden="false" customHeight="false" outlineLevel="0" collapsed="false">
      <c r="E1188" s="9" t="str">
        <f aca="false">IF($B1188="","",IFERROR(INDEX(書籍!$B$2:$B$2000,MATCH($B1188,書籍!$A$2:$A$2000,0)),"（沒建檔）"))</f>
        <v/>
      </c>
      <c r="F1188" s="9" t="str">
        <f aca="false">IF($A1188="","",IFERROR(INDEX(會員!$B$2:$B$2000,MATCH($A1188,會員!$A$2:$A$2000,0)),"（沒建檔）"))</f>
        <v/>
      </c>
      <c r="G1188" s="10" t="str">
        <f aca="false">IF($B1188="","",IF($D1188="","未還","已還"))</f>
        <v/>
      </c>
    </row>
    <row r="1189" customFormat="false" ht="15" hidden="false" customHeight="false" outlineLevel="0" collapsed="false">
      <c r="E1189" s="9" t="str">
        <f aca="false">IF($B1189="","",IFERROR(INDEX(書籍!$B$2:$B$2000,MATCH($B1189,書籍!$A$2:$A$2000,0)),"（沒建檔）"))</f>
        <v/>
      </c>
      <c r="F1189" s="9" t="str">
        <f aca="false">IF($A1189="","",IFERROR(INDEX(會員!$B$2:$B$2000,MATCH($A1189,會員!$A$2:$A$2000,0)),"（沒建檔）"))</f>
        <v/>
      </c>
      <c r="G1189" s="10" t="str">
        <f aca="false">IF($B1189="","",IF($D1189="","未還","已還"))</f>
        <v/>
      </c>
    </row>
    <row r="1190" customFormat="false" ht="15" hidden="false" customHeight="false" outlineLevel="0" collapsed="false">
      <c r="E1190" s="9" t="str">
        <f aca="false">IF($B1190="","",IFERROR(INDEX(書籍!$B$2:$B$2000,MATCH($B1190,書籍!$A$2:$A$2000,0)),"（沒建檔）"))</f>
        <v/>
      </c>
      <c r="F1190" s="9" t="str">
        <f aca="false">IF($A1190="","",IFERROR(INDEX(會員!$B$2:$B$2000,MATCH($A1190,會員!$A$2:$A$2000,0)),"（沒建檔）"))</f>
        <v/>
      </c>
      <c r="G1190" s="10" t="str">
        <f aca="false">IF($B1190="","",IF($D1190="","未還","已還"))</f>
        <v/>
      </c>
    </row>
    <row r="1191" customFormat="false" ht="15" hidden="false" customHeight="false" outlineLevel="0" collapsed="false">
      <c r="E1191" s="9" t="str">
        <f aca="false">IF($B1191="","",IFERROR(INDEX(書籍!$B$2:$B$2000,MATCH($B1191,書籍!$A$2:$A$2000,0)),"（沒建檔）"))</f>
        <v/>
      </c>
      <c r="F1191" s="9" t="str">
        <f aca="false">IF($A1191="","",IFERROR(INDEX(會員!$B$2:$B$2000,MATCH($A1191,會員!$A$2:$A$2000,0)),"（沒建檔）"))</f>
        <v/>
      </c>
      <c r="G1191" s="10" t="str">
        <f aca="false">IF($B1191="","",IF($D1191="","未還","已還"))</f>
        <v/>
      </c>
    </row>
    <row r="1192" customFormat="false" ht="15" hidden="false" customHeight="false" outlineLevel="0" collapsed="false">
      <c r="E1192" s="9" t="str">
        <f aca="false">IF($B1192="","",IFERROR(INDEX(書籍!$B$2:$B$2000,MATCH($B1192,書籍!$A$2:$A$2000,0)),"（沒建檔）"))</f>
        <v/>
      </c>
      <c r="F1192" s="9" t="str">
        <f aca="false">IF($A1192="","",IFERROR(INDEX(會員!$B$2:$B$2000,MATCH($A1192,會員!$A$2:$A$2000,0)),"（沒建檔）"))</f>
        <v/>
      </c>
      <c r="G1192" s="10" t="str">
        <f aca="false">IF($B1192="","",IF($D1192="","未還","已還"))</f>
        <v/>
      </c>
    </row>
    <row r="1193" customFormat="false" ht="15" hidden="false" customHeight="false" outlineLevel="0" collapsed="false">
      <c r="E1193" s="9" t="str">
        <f aca="false">IF($B1193="","",IFERROR(INDEX(書籍!$B$2:$B$2000,MATCH($B1193,書籍!$A$2:$A$2000,0)),"（沒建檔）"))</f>
        <v/>
      </c>
      <c r="F1193" s="9" t="str">
        <f aca="false">IF($A1193="","",IFERROR(INDEX(會員!$B$2:$B$2000,MATCH($A1193,會員!$A$2:$A$2000,0)),"（沒建檔）"))</f>
        <v/>
      </c>
      <c r="G1193" s="10" t="str">
        <f aca="false">IF($B1193="","",IF($D1193="","未還","已還"))</f>
        <v/>
      </c>
    </row>
    <row r="1194" customFormat="false" ht="15" hidden="false" customHeight="false" outlineLevel="0" collapsed="false">
      <c r="E1194" s="9" t="str">
        <f aca="false">IF($B1194="","",IFERROR(INDEX(書籍!$B$2:$B$2000,MATCH($B1194,書籍!$A$2:$A$2000,0)),"（沒建檔）"))</f>
        <v/>
      </c>
      <c r="F1194" s="9" t="str">
        <f aca="false">IF($A1194="","",IFERROR(INDEX(會員!$B$2:$B$2000,MATCH($A1194,會員!$A$2:$A$2000,0)),"（沒建檔）"))</f>
        <v/>
      </c>
      <c r="G1194" s="10" t="str">
        <f aca="false">IF($B1194="","",IF($D1194="","未還","已還"))</f>
        <v/>
      </c>
    </row>
    <row r="1195" customFormat="false" ht="15" hidden="false" customHeight="false" outlineLevel="0" collapsed="false">
      <c r="E1195" s="9" t="str">
        <f aca="false">IF($B1195="","",IFERROR(INDEX(書籍!$B$2:$B$2000,MATCH($B1195,書籍!$A$2:$A$2000,0)),"（沒建檔）"))</f>
        <v/>
      </c>
      <c r="F1195" s="9" t="str">
        <f aca="false">IF($A1195="","",IFERROR(INDEX(會員!$B$2:$B$2000,MATCH($A1195,會員!$A$2:$A$2000,0)),"（沒建檔）"))</f>
        <v/>
      </c>
      <c r="G1195" s="10" t="str">
        <f aca="false">IF($B1195="","",IF($D1195="","未還","已還"))</f>
        <v/>
      </c>
    </row>
    <row r="1196" customFormat="false" ht="15" hidden="false" customHeight="false" outlineLevel="0" collapsed="false">
      <c r="E1196" s="9" t="str">
        <f aca="false">IF($B1196="","",IFERROR(INDEX(書籍!$B$2:$B$2000,MATCH($B1196,書籍!$A$2:$A$2000,0)),"（沒建檔）"))</f>
        <v/>
      </c>
      <c r="F1196" s="9" t="str">
        <f aca="false">IF($A1196="","",IFERROR(INDEX(會員!$B$2:$B$2000,MATCH($A1196,會員!$A$2:$A$2000,0)),"（沒建檔）"))</f>
        <v/>
      </c>
      <c r="G1196" s="10" t="str">
        <f aca="false">IF($B1196="","",IF($D1196="","未還","已還"))</f>
        <v/>
      </c>
    </row>
    <row r="1197" customFormat="false" ht="15" hidden="false" customHeight="false" outlineLevel="0" collapsed="false">
      <c r="E1197" s="9" t="str">
        <f aca="false">IF($B1197="","",IFERROR(INDEX(書籍!$B$2:$B$2000,MATCH($B1197,書籍!$A$2:$A$2000,0)),"（沒建檔）"))</f>
        <v/>
      </c>
      <c r="F1197" s="9" t="str">
        <f aca="false">IF($A1197="","",IFERROR(INDEX(會員!$B$2:$B$2000,MATCH($A1197,會員!$A$2:$A$2000,0)),"（沒建檔）"))</f>
        <v/>
      </c>
      <c r="G1197" s="10" t="str">
        <f aca="false">IF($B1197="","",IF($D1197="","未還","已還"))</f>
        <v/>
      </c>
    </row>
    <row r="1198" customFormat="false" ht="15" hidden="false" customHeight="false" outlineLevel="0" collapsed="false">
      <c r="E1198" s="9" t="str">
        <f aca="false">IF($B1198="","",IFERROR(INDEX(書籍!$B$2:$B$2000,MATCH($B1198,書籍!$A$2:$A$2000,0)),"（沒建檔）"))</f>
        <v/>
      </c>
      <c r="F1198" s="9" t="str">
        <f aca="false">IF($A1198="","",IFERROR(INDEX(會員!$B$2:$B$2000,MATCH($A1198,會員!$A$2:$A$2000,0)),"（沒建檔）"))</f>
        <v/>
      </c>
      <c r="G1198" s="10" t="str">
        <f aca="false">IF($B1198="","",IF($D1198="","未還","已還"))</f>
        <v/>
      </c>
    </row>
    <row r="1199" customFormat="false" ht="15" hidden="false" customHeight="false" outlineLevel="0" collapsed="false">
      <c r="E1199" s="9" t="str">
        <f aca="false">IF($B1199="","",IFERROR(INDEX(書籍!$B$2:$B$2000,MATCH($B1199,書籍!$A$2:$A$2000,0)),"（沒建檔）"))</f>
        <v/>
      </c>
      <c r="F1199" s="9" t="str">
        <f aca="false">IF($A1199="","",IFERROR(INDEX(會員!$B$2:$B$2000,MATCH($A1199,會員!$A$2:$A$2000,0)),"（沒建檔）"))</f>
        <v/>
      </c>
      <c r="G1199" s="10" t="str">
        <f aca="false">IF($B1199="","",IF($D1199="","未還","已還"))</f>
        <v/>
      </c>
    </row>
    <row r="1200" customFormat="false" ht="15" hidden="false" customHeight="false" outlineLevel="0" collapsed="false">
      <c r="E1200" s="9" t="str">
        <f aca="false">IF($B1200="","",IFERROR(INDEX(書籍!$B$2:$B$2000,MATCH($B1200,書籍!$A$2:$A$2000,0)),"（沒建檔）"))</f>
        <v/>
      </c>
      <c r="F1200" s="9" t="str">
        <f aca="false">IF($A1200="","",IFERROR(INDEX(會員!$B$2:$B$2000,MATCH($A1200,會員!$A$2:$A$2000,0)),"（沒建檔）"))</f>
        <v/>
      </c>
      <c r="G1200" s="10" t="str">
        <f aca="false">IF($B1200="","",IF($D1200="","未還","已還"))</f>
        <v/>
      </c>
    </row>
    <row r="1201" customFormat="false" ht="15" hidden="false" customHeight="false" outlineLevel="0" collapsed="false">
      <c r="E1201" s="9" t="str">
        <f aca="false">IF($B1201="","",IFERROR(INDEX(書籍!$B$2:$B$2000,MATCH($B1201,書籍!$A$2:$A$2000,0)),"（沒建檔）"))</f>
        <v/>
      </c>
      <c r="F1201" s="9" t="str">
        <f aca="false">IF($A1201="","",IFERROR(INDEX(會員!$B$2:$B$2000,MATCH($A1201,會員!$A$2:$A$2000,0)),"（沒建檔）"))</f>
        <v/>
      </c>
      <c r="G1201" s="10" t="str">
        <f aca="false">IF($B1201="","",IF($D1201="","未還","已還"))</f>
        <v/>
      </c>
    </row>
    <row r="1202" customFormat="false" ht="15" hidden="false" customHeight="false" outlineLevel="0" collapsed="false">
      <c r="E1202" s="9" t="str">
        <f aca="false">IF($B1202="","",IFERROR(INDEX(書籍!$B$2:$B$2000,MATCH($B1202,書籍!$A$2:$A$2000,0)),"（沒建檔）"))</f>
        <v/>
      </c>
      <c r="F1202" s="9" t="str">
        <f aca="false">IF($A1202="","",IFERROR(INDEX(會員!$B$2:$B$2000,MATCH($A1202,會員!$A$2:$A$2000,0)),"（沒建檔）"))</f>
        <v/>
      </c>
      <c r="G1202" s="10" t="str">
        <f aca="false">IF($B1202="","",IF($D1202="","未還","已還"))</f>
        <v/>
      </c>
    </row>
    <row r="1203" customFormat="false" ht="15" hidden="false" customHeight="false" outlineLevel="0" collapsed="false">
      <c r="E1203" s="9" t="str">
        <f aca="false">IF($B1203="","",IFERROR(INDEX(書籍!$B$2:$B$2000,MATCH($B1203,書籍!$A$2:$A$2000,0)),"（沒建檔）"))</f>
        <v/>
      </c>
      <c r="F1203" s="9" t="str">
        <f aca="false">IF($A1203="","",IFERROR(INDEX(會員!$B$2:$B$2000,MATCH($A1203,會員!$A$2:$A$2000,0)),"（沒建檔）"))</f>
        <v/>
      </c>
      <c r="G1203" s="10" t="str">
        <f aca="false">IF($B1203="","",IF($D1203="","未還","已還"))</f>
        <v/>
      </c>
    </row>
    <row r="1204" customFormat="false" ht="15" hidden="false" customHeight="false" outlineLevel="0" collapsed="false">
      <c r="E1204" s="9" t="str">
        <f aca="false">IF($B1204="","",IFERROR(INDEX(書籍!$B$2:$B$2000,MATCH($B1204,書籍!$A$2:$A$2000,0)),"（沒建檔）"))</f>
        <v/>
      </c>
      <c r="F1204" s="9" t="str">
        <f aca="false">IF($A1204="","",IFERROR(INDEX(會員!$B$2:$B$2000,MATCH($A1204,會員!$A$2:$A$2000,0)),"（沒建檔）"))</f>
        <v/>
      </c>
      <c r="G1204" s="10" t="str">
        <f aca="false">IF($B1204="","",IF($D1204="","未還","已還"))</f>
        <v/>
      </c>
    </row>
    <row r="1205" customFormat="false" ht="15" hidden="false" customHeight="false" outlineLevel="0" collapsed="false">
      <c r="E1205" s="9" t="str">
        <f aca="false">IF($B1205="","",IFERROR(INDEX(書籍!$B$2:$B$2000,MATCH($B1205,書籍!$A$2:$A$2000,0)),"（沒建檔）"))</f>
        <v/>
      </c>
      <c r="F1205" s="9" t="str">
        <f aca="false">IF($A1205="","",IFERROR(INDEX(會員!$B$2:$B$2000,MATCH($A1205,會員!$A$2:$A$2000,0)),"（沒建檔）"))</f>
        <v/>
      </c>
      <c r="G1205" s="10" t="str">
        <f aca="false">IF($B1205="","",IF($D1205="","未還","已還"))</f>
        <v/>
      </c>
    </row>
    <row r="1206" customFormat="false" ht="15" hidden="false" customHeight="false" outlineLevel="0" collapsed="false">
      <c r="E1206" s="9" t="str">
        <f aca="false">IF($B1206="","",IFERROR(INDEX(書籍!$B$2:$B$2000,MATCH($B1206,書籍!$A$2:$A$2000,0)),"（沒建檔）"))</f>
        <v/>
      </c>
      <c r="F1206" s="9" t="str">
        <f aca="false">IF($A1206="","",IFERROR(INDEX(會員!$B$2:$B$2000,MATCH($A1206,會員!$A$2:$A$2000,0)),"（沒建檔）"))</f>
        <v/>
      </c>
      <c r="G1206" s="10" t="str">
        <f aca="false">IF($B1206="","",IF($D1206="","未還","已還"))</f>
        <v/>
      </c>
    </row>
    <row r="1207" customFormat="false" ht="15" hidden="false" customHeight="false" outlineLevel="0" collapsed="false">
      <c r="E1207" s="9" t="str">
        <f aca="false">IF($B1207="","",IFERROR(INDEX(書籍!$B$2:$B$2000,MATCH($B1207,書籍!$A$2:$A$2000,0)),"（沒建檔）"))</f>
        <v/>
      </c>
      <c r="F1207" s="9" t="str">
        <f aca="false">IF($A1207="","",IFERROR(INDEX(會員!$B$2:$B$2000,MATCH($A1207,會員!$A$2:$A$2000,0)),"（沒建檔）"))</f>
        <v/>
      </c>
      <c r="G1207" s="10" t="str">
        <f aca="false">IF($B1207="","",IF($D1207="","未還","已還"))</f>
        <v/>
      </c>
    </row>
    <row r="1208" customFormat="false" ht="15" hidden="false" customHeight="false" outlineLevel="0" collapsed="false">
      <c r="E1208" s="9" t="str">
        <f aca="false">IF($B1208="","",IFERROR(INDEX(書籍!$B$2:$B$2000,MATCH($B1208,書籍!$A$2:$A$2000,0)),"（沒建檔）"))</f>
        <v/>
      </c>
      <c r="F1208" s="9" t="str">
        <f aca="false">IF($A1208="","",IFERROR(INDEX(會員!$B$2:$B$2000,MATCH($A1208,會員!$A$2:$A$2000,0)),"（沒建檔）"))</f>
        <v/>
      </c>
      <c r="G1208" s="10" t="str">
        <f aca="false">IF($B1208="","",IF($D1208="","未還","已還"))</f>
        <v/>
      </c>
    </row>
    <row r="1209" customFormat="false" ht="15" hidden="false" customHeight="false" outlineLevel="0" collapsed="false">
      <c r="E1209" s="9" t="str">
        <f aca="false">IF($B1209="","",IFERROR(INDEX(書籍!$B$2:$B$2000,MATCH($B1209,書籍!$A$2:$A$2000,0)),"（沒建檔）"))</f>
        <v/>
      </c>
      <c r="F1209" s="9" t="str">
        <f aca="false">IF($A1209="","",IFERROR(INDEX(會員!$B$2:$B$2000,MATCH($A1209,會員!$A$2:$A$2000,0)),"（沒建檔）"))</f>
        <v/>
      </c>
      <c r="G1209" s="10" t="str">
        <f aca="false">IF($B1209="","",IF($D1209="","未還","已還"))</f>
        <v/>
      </c>
    </row>
    <row r="1210" customFormat="false" ht="15" hidden="false" customHeight="false" outlineLevel="0" collapsed="false">
      <c r="E1210" s="9" t="str">
        <f aca="false">IF($B1210="","",IFERROR(INDEX(書籍!$B$2:$B$2000,MATCH($B1210,書籍!$A$2:$A$2000,0)),"（沒建檔）"))</f>
        <v/>
      </c>
      <c r="F1210" s="9" t="str">
        <f aca="false">IF($A1210="","",IFERROR(INDEX(會員!$B$2:$B$2000,MATCH($A1210,會員!$A$2:$A$2000,0)),"（沒建檔）"))</f>
        <v/>
      </c>
      <c r="G1210" s="10" t="str">
        <f aca="false">IF($B1210="","",IF($D1210="","未還","已還"))</f>
        <v/>
      </c>
    </row>
    <row r="1211" customFormat="false" ht="15" hidden="false" customHeight="false" outlineLevel="0" collapsed="false">
      <c r="E1211" s="9" t="str">
        <f aca="false">IF($B1211="","",IFERROR(INDEX(書籍!$B$2:$B$2000,MATCH($B1211,書籍!$A$2:$A$2000,0)),"（沒建檔）"))</f>
        <v/>
      </c>
      <c r="F1211" s="9" t="str">
        <f aca="false">IF($A1211="","",IFERROR(INDEX(會員!$B$2:$B$2000,MATCH($A1211,會員!$A$2:$A$2000,0)),"（沒建檔）"))</f>
        <v/>
      </c>
      <c r="G1211" s="10" t="str">
        <f aca="false">IF($B1211="","",IF($D1211="","未還","已還"))</f>
        <v/>
      </c>
    </row>
    <row r="1212" customFormat="false" ht="15" hidden="false" customHeight="false" outlineLevel="0" collapsed="false">
      <c r="E1212" s="9" t="str">
        <f aca="false">IF($B1212="","",IFERROR(INDEX(書籍!$B$2:$B$2000,MATCH($B1212,書籍!$A$2:$A$2000,0)),"（沒建檔）"))</f>
        <v/>
      </c>
      <c r="F1212" s="9" t="str">
        <f aca="false">IF($A1212="","",IFERROR(INDEX(會員!$B$2:$B$2000,MATCH($A1212,會員!$A$2:$A$2000,0)),"（沒建檔）"))</f>
        <v/>
      </c>
      <c r="G1212" s="10" t="str">
        <f aca="false">IF($B1212="","",IF($D1212="","未還","已還"))</f>
        <v/>
      </c>
    </row>
    <row r="1213" customFormat="false" ht="15" hidden="false" customHeight="false" outlineLevel="0" collapsed="false">
      <c r="E1213" s="9" t="str">
        <f aca="false">IF($B1213="","",IFERROR(INDEX(書籍!$B$2:$B$2000,MATCH($B1213,書籍!$A$2:$A$2000,0)),"（沒建檔）"))</f>
        <v/>
      </c>
      <c r="F1213" s="9" t="str">
        <f aca="false">IF($A1213="","",IFERROR(INDEX(會員!$B$2:$B$2000,MATCH($A1213,會員!$A$2:$A$2000,0)),"（沒建檔）"))</f>
        <v/>
      </c>
      <c r="G1213" s="10" t="str">
        <f aca="false">IF($B1213="","",IF($D1213="","未還","已還"))</f>
        <v/>
      </c>
    </row>
    <row r="1214" customFormat="false" ht="15" hidden="false" customHeight="false" outlineLevel="0" collapsed="false">
      <c r="E1214" s="9" t="str">
        <f aca="false">IF($B1214="","",IFERROR(INDEX(書籍!$B$2:$B$2000,MATCH($B1214,書籍!$A$2:$A$2000,0)),"（沒建檔）"))</f>
        <v/>
      </c>
      <c r="F1214" s="9" t="str">
        <f aca="false">IF($A1214="","",IFERROR(INDEX(會員!$B$2:$B$2000,MATCH($A1214,會員!$A$2:$A$2000,0)),"（沒建檔）"))</f>
        <v/>
      </c>
      <c r="G1214" s="10" t="str">
        <f aca="false">IF($B1214="","",IF($D1214="","未還","已還"))</f>
        <v/>
      </c>
    </row>
    <row r="1215" customFormat="false" ht="15" hidden="false" customHeight="false" outlineLevel="0" collapsed="false">
      <c r="E1215" s="9" t="str">
        <f aca="false">IF($B1215="","",IFERROR(INDEX(書籍!$B$2:$B$2000,MATCH($B1215,書籍!$A$2:$A$2000,0)),"（沒建檔）"))</f>
        <v/>
      </c>
      <c r="F1215" s="9" t="str">
        <f aca="false">IF($A1215="","",IFERROR(INDEX(會員!$B$2:$B$2000,MATCH($A1215,會員!$A$2:$A$2000,0)),"（沒建檔）"))</f>
        <v/>
      </c>
      <c r="G1215" s="10" t="str">
        <f aca="false">IF($B1215="","",IF($D1215="","未還","已還"))</f>
        <v/>
      </c>
    </row>
    <row r="1216" customFormat="false" ht="15" hidden="false" customHeight="false" outlineLevel="0" collapsed="false">
      <c r="E1216" s="9" t="str">
        <f aca="false">IF($B1216="","",IFERROR(INDEX(書籍!$B$2:$B$2000,MATCH($B1216,書籍!$A$2:$A$2000,0)),"（沒建檔）"))</f>
        <v/>
      </c>
      <c r="F1216" s="9" t="str">
        <f aca="false">IF($A1216="","",IFERROR(INDEX(會員!$B$2:$B$2000,MATCH($A1216,會員!$A$2:$A$2000,0)),"（沒建檔）"))</f>
        <v/>
      </c>
      <c r="G1216" s="10" t="str">
        <f aca="false">IF($B1216="","",IF($D1216="","未還","已還"))</f>
        <v/>
      </c>
    </row>
    <row r="1217" customFormat="false" ht="15" hidden="false" customHeight="false" outlineLevel="0" collapsed="false">
      <c r="E1217" s="9" t="str">
        <f aca="false">IF($B1217="","",IFERROR(INDEX(書籍!$B$2:$B$2000,MATCH($B1217,書籍!$A$2:$A$2000,0)),"（沒建檔）"))</f>
        <v/>
      </c>
      <c r="F1217" s="9" t="str">
        <f aca="false">IF($A1217="","",IFERROR(INDEX(會員!$B$2:$B$2000,MATCH($A1217,會員!$A$2:$A$2000,0)),"（沒建檔）"))</f>
        <v/>
      </c>
      <c r="G1217" s="10" t="str">
        <f aca="false">IF($B1217="","",IF($D1217="","未還","已還"))</f>
        <v/>
      </c>
    </row>
    <row r="1218" customFormat="false" ht="15" hidden="false" customHeight="false" outlineLevel="0" collapsed="false">
      <c r="E1218" s="9" t="str">
        <f aca="false">IF($B1218="","",IFERROR(INDEX(書籍!$B$2:$B$2000,MATCH($B1218,書籍!$A$2:$A$2000,0)),"（沒建檔）"))</f>
        <v/>
      </c>
      <c r="F1218" s="9" t="str">
        <f aca="false">IF($A1218="","",IFERROR(INDEX(會員!$B$2:$B$2000,MATCH($A1218,會員!$A$2:$A$2000,0)),"（沒建檔）"))</f>
        <v/>
      </c>
      <c r="G1218" s="10" t="str">
        <f aca="false">IF($B1218="","",IF($D1218="","未還","已還"))</f>
        <v/>
      </c>
    </row>
    <row r="1219" customFormat="false" ht="15" hidden="false" customHeight="false" outlineLevel="0" collapsed="false">
      <c r="E1219" s="9" t="str">
        <f aca="false">IF($B1219="","",IFERROR(INDEX(書籍!$B$2:$B$2000,MATCH($B1219,書籍!$A$2:$A$2000,0)),"（沒建檔）"))</f>
        <v/>
      </c>
      <c r="F1219" s="9" t="str">
        <f aca="false">IF($A1219="","",IFERROR(INDEX(會員!$B$2:$B$2000,MATCH($A1219,會員!$A$2:$A$2000,0)),"（沒建檔）"))</f>
        <v/>
      </c>
      <c r="G1219" s="10" t="str">
        <f aca="false">IF($B1219="","",IF($D1219="","未還","已還"))</f>
        <v/>
      </c>
    </row>
    <row r="1220" customFormat="false" ht="15" hidden="false" customHeight="false" outlineLevel="0" collapsed="false">
      <c r="E1220" s="9" t="str">
        <f aca="false">IF($B1220="","",IFERROR(INDEX(書籍!$B$2:$B$2000,MATCH($B1220,書籍!$A$2:$A$2000,0)),"（沒建檔）"))</f>
        <v/>
      </c>
      <c r="F1220" s="9" t="str">
        <f aca="false">IF($A1220="","",IFERROR(INDEX(會員!$B$2:$B$2000,MATCH($A1220,會員!$A$2:$A$2000,0)),"（沒建檔）"))</f>
        <v/>
      </c>
      <c r="G1220" s="10" t="str">
        <f aca="false">IF($B1220="","",IF($D1220="","未還","已還"))</f>
        <v/>
      </c>
    </row>
    <row r="1221" customFormat="false" ht="15" hidden="false" customHeight="false" outlineLevel="0" collapsed="false">
      <c r="E1221" s="9" t="str">
        <f aca="false">IF($B1221="","",IFERROR(INDEX(書籍!$B$2:$B$2000,MATCH($B1221,書籍!$A$2:$A$2000,0)),"（沒建檔）"))</f>
        <v/>
      </c>
      <c r="F1221" s="9" t="str">
        <f aca="false">IF($A1221="","",IFERROR(INDEX(會員!$B$2:$B$2000,MATCH($A1221,會員!$A$2:$A$2000,0)),"（沒建檔）"))</f>
        <v/>
      </c>
      <c r="G1221" s="10" t="str">
        <f aca="false">IF($B1221="","",IF($D1221="","未還","已還"))</f>
        <v/>
      </c>
    </row>
    <row r="1222" customFormat="false" ht="15" hidden="false" customHeight="false" outlineLevel="0" collapsed="false">
      <c r="E1222" s="9" t="str">
        <f aca="false">IF($B1222="","",IFERROR(INDEX(書籍!$B$2:$B$2000,MATCH($B1222,書籍!$A$2:$A$2000,0)),"（沒建檔）"))</f>
        <v/>
      </c>
      <c r="F1222" s="9" t="str">
        <f aca="false">IF($A1222="","",IFERROR(INDEX(會員!$B$2:$B$2000,MATCH($A1222,會員!$A$2:$A$2000,0)),"（沒建檔）"))</f>
        <v/>
      </c>
      <c r="G1222" s="10" t="str">
        <f aca="false">IF($B1222="","",IF($D1222="","未還","已還"))</f>
        <v/>
      </c>
    </row>
    <row r="1223" customFormat="false" ht="15" hidden="false" customHeight="false" outlineLevel="0" collapsed="false">
      <c r="E1223" s="9" t="str">
        <f aca="false">IF($B1223="","",IFERROR(INDEX(書籍!$B$2:$B$2000,MATCH($B1223,書籍!$A$2:$A$2000,0)),"（沒建檔）"))</f>
        <v/>
      </c>
      <c r="F1223" s="9" t="str">
        <f aca="false">IF($A1223="","",IFERROR(INDEX(會員!$B$2:$B$2000,MATCH($A1223,會員!$A$2:$A$2000,0)),"（沒建檔）"))</f>
        <v/>
      </c>
      <c r="G1223" s="10" t="str">
        <f aca="false">IF($B1223="","",IF($D1223="","未還","已還"))</f>
        <v/>
      </c>
    </row>
    <row r="1224" customFormat="false" ht="15" hidden="false" customHeight="false" outlineLevel="0" collapsed="false">
      <c r="E1224" s="9" t="str">
        <f aca="false">IF($B1224="","",IFERROR(INDEX(書籍!$B$2:$B$2000,MATCH($B1224,書籍!$A$2:$A$2000,0)),"（沒建檔）"))</f>
        <v/>
      </c>
      <c r="F1224" s="9" t="str">
        <f aca="false">IF($A1224="","",IFERROR(INDEX(會員!$B$2:$B$2000,MATCH($A1224,會員!$A$2:$A$2000,0)),"（沒建檔）"))</f>
        <v/>
      </c>
      <c r="G1224" s="10" t="str">
        <f aca="false">IF($B1224="","",IF($D1224="","未還","已還"))</f>
        <v/>
      </c>
    </row>
    <row r="1225" customFormat="false" ht="15" hidden="false" customHeight="false" outlineLevel="0" collapsed="false">
      <c r="E1225" s="9" t="str">
        <f aca="false">IF($B1225="","",IFERROR(INDEX(書籍!$B$2:$B$2000,MATCH($B1225,書籍!$A$2:$A$2000,0)),"（沒建檔）"))</f>
        <v/>
      </c>
      <c r="F1225" s="9" t="str">
        <f aca="false">IF($A1225="","",IFERROR(INDEX(會員!$B$2:$B$2000,MATCH($A1225,會員!$A$2:$A$2000,0)),"（沒建檔）"))</f>
        <v/>
      </c>
      <c r="G1225" s="10" t="str">
        <f aca="false">IF($B1225="","",IF($D1225="","未還","已還"))</f>
        <v/>
      </c>
    </row>
    <row r="1226" customFormat="false" ht="15" hidden="false" customHeight="false" outlineLevel="0" collapsed="false">
      <c r="E1226" s="9" t="str">
        <f aca="false">IF($B1226="","",IFERROR(INDEX(書籍!$B$2:$B$2000,MATCH($B1226,書籍!$A$2:$A$2000,0)),"（沒建檔）"))</f>
        <v/>
      </c>
      <c r="F1226" s="9" t="str">
        <f aca="false">IF($A1226="","",IFERROR(INDEX(會員!$B$2:$B$2000,MATCH($A1226,會員!$A$2:$A$2000,0)),"（沒建檔）"))</f>
        <v/>
      </c>
      <c r="G1226" s="10" t="str">
        <f aca="false">IF($B1226="","",IF($D1226="","未還","已還"))</f>
        <v/>
      </c>
    </row>
    <row r="1227" customFormat="false" ht="15" hidden="false" customHeight="false" outlineLevel="0" collapsed="false">
      <c r="E1227" s="9" t="str">
        <f aca="false">IF($B1227="","",IFERROR(INDEX(書籍!$B$2:$B$2000,MATCH($B1227,書籍!$A$2:$A$2000,0)),"（沒建檔）"))</f>
        <v/>
      </c>
      <c r="F1227" s="9" t="str">
        <f aca="false">IF($A1227="","",IFERROR(INDEX(會員!$B$2:$B$2000,MATCH($A1227,會員!$A$2:$A$2000,0)),"（沒建檔）"))</f>
        <v/>
      </c>
      <c r="G1227" s="10" t="str">
        <f aca="false">IF($B1227="","",IF($D1227="","未還","已還"))</f>
        <v/>
      </c>
    </row>
    <row r="1228" customFormat="false" ht="15" hidden="false" customHeight="false" outlineLevel="0" collapsed="false">
      <c r="E1228" s="9" t="str">
        <f aca="false">IF($B1228="","",IFERROR(INDEX(書籍!$B$2:$B$2000,MATCH($B1228,書籍!$A$2:$A$2000,0)),"（沒建檔）"))</f>
        <v/>
      </c>
      <c r="F1228" s="9" t="str">
        <f aca="false">IF($A1228="","",IFERROR(INDEX(會員!$B$2:$B$2000,MATCH($A1228,會員!$A$2:$A$2000,0)),"（沒建檔）"))</f>
        <v/>
      </c>
      <c r="G1228" s="10" t="str">
        <f aca="false">IF($B1228="","",IF($D1228="","未還","已還"))</f>
        <v/>
      </c>
    </row>
    <row r="1229" customFormat="false" ht="15" hidden="false" customHeight="false" outlineLevel="0" collapsed="false">
      <c r="E1229" s="9" t="str">
        <f aca="false">IF($B1229="","",IFERROR(INDEX(書籍!$B$2:$B$2000,MATCH($B1229,書籍!$A$2:$A$2000,0)),"（沒建檔）"))</f>
        <v/>
      </c>
      <c r="F1229" s="9" t="str">
        <f aca="false">IF($A1229="","",IFERROR(INDEX(會員!$B$2:$B$2000,MATCH($A1229,會員!$A$2:$A$2000,0)),"（沒建檔）"))</f>
        <v/>
      </c>
      <c r="G1229" s="10" t="str">
        <f aca="false">IF($B1229="","",IF($D1229="","未還","已還"))</f>
        <v/>
      </c>
    </row>
    <row r="1230" customFormat="false" ht="15" hidden="false" customHeight="false" outlineLevel="0" collapsed="false">
      <c r="E1230" s="9" t="str">
        <f aca="false">IF($B1230="","",IFERROR(INDEX(書籍!$B$2:$B$2000,MATCH($B1230,書籍!$A$2:$A$2000,0)),"（沒建檔）"))</f>
        <v/>
      </c>
      <c r="F1230" s="9" t="str">
        <f aca="false">IF($A1230="","",IFERROR(INDEX(會員!$B$2:$B$2000,MATCH($A1230,會員!$A$2:$A$2000,0)),"（沒建檔）"))</f>
        <v/>
      </c>
      <c r="G1230" s="10" t="str">
        <f aca="false">IF($B1230="","",IF($D1230="","未還","已還"))</f>
        <v/>
      </c>
    </row>
    <row r="1231" customFormat="false" ht="15" hidden="false" customHeight="false" outlineLevel="0" collapsed="false">
      <c r="E1231" s="9" t="str">
        <f aca="false">IF($B1231="","",IFERROR(INDEX(書籍!$B$2:$B$2000,MATCH($B1231,書籍!$A$2:$A$2000,0)),"（沒建檔）"))</f>
        <v/>
      </c>
      <c r="F1231" s="9" t="str">
        <f aca="false">IF($A1231="","",IFERROR(INDEX(會員!$B$2:$B$2000,MATCH($A1231,會員!$A$2:$A$2000,0)),"（沒建檔）"))</f>
        <v/>
      </c>
      <c r="G1231" s="10" t="str">
        <f aca="false">IF($B1231="","",IF($D1231="","未還","已還"))</f>
        <v/>
      </c>
    </row>
    <row r="1232" customFormat="false" ht="15" hidden="false" customHeight="false" outlineLevel="0" collapsed="false">
      <c r="E1232" s="9" t="str">
        <f aca="false">IF($B1232="","",IFERROR(INDEX(書籍!$B$2:$B$2000,MATCH($B1232,書籍!$A$2:$A$2000,0)),"（沒建檔）"))</f>
        <v/>
      </c>
      <c r="F1232" s="9" t="str">
        <f aca="false">IF($A1232="","",IFERROR(INDEX(會員!$B$2:$B$2000,MATCH($A1232,會員!$A$2:$A$2000,0)),"（沒建檔）"))</f>
        <v/>
      </c>
      <c r="G1232" s="10" t="str">
        <f aca="false">IF($B1232="","",IF($D1232="","未還","已還"))</f>
        <v/>
      </c>
    </row>
    <row r="1233" customFormat="false" ht="15" hidden="false" customHeight="false" outlineLevel="0" collapsed="false">
      <c r="E1233" s="9" t="str">
        <f aca="false">IF($B1233="","",IFERROR(INDEX(書籍!$B$2:$B$2000,MATCH($B1233,書籍!$A$2:$A$2000,0)),"（沒建檔）"))</f>
        <v/>
      </c>
      <c r="F1233" s="9" t="str">
        <f aca="false">IF($A1233="","",IFERROR(INDEX(會員!$B$2:$B$2000,MATCH($A1233,會員!$A$2:$A$2000,0)),"（沒建檔）"))</f>
        <v/>
      </c>
      <c r="G1233" s="10" t="str">
        <f aca="false">IF($B1233="","",IF($D1233="","未還","已還"))</f>
        <v/>
      </c>
    </row>
    <row r="1234" customFormat="false" ht="15" hidden="false" customHeight="false" outlineLevel="0" collapsed="false">
      <c r="E1234" s="9" t="str">
        <f aca="false">IF($B1234="","",IFERROR(INDEX(書籍!$B$2:$B$2000,MATCH($B1234,書籍!$A$2:$A$2000,0)),"（沒建檔）"))</f>
        <v/>
      </c>
      <c r="F1234" s="9" t="str">
        <f aca="false">IF($A1234="","",IFERROR(INDEX(會員!$B$2:$B$2000,MATCH($A1234,會員!$A$2:$A$2000,0)),"（沒建檔）"))</f>
        <v/>
      </c>
      <c r="G1234" s="10" t="str">
        <f aca="false">IF($B1234="","",IF($D1234="","未還","已還"))</f>
        <v/>
      </c>
    </row>
    <row r="1235" customFormat="false" ht="15" hidden="false" customHeight="false" outlineLevel="0" collapsed="false">
      <c r="E1235" s="9" t="str">
        <f aca="false">IF($B1235="","",IFERROR(INDEX(書籍!$B$2:$B$2000,MATCH($B1235,書籍!$A$2:$A$2000,0)),"（沒建檔）"))</f>
        <v/>
      </c>
      <c r="F1235" s="9" t="str">
        <f aca="false">IF($A1235="","",IFERROR(INDEX(會員!$B$2:$B$2000,MATCH($A1235,會員!$A$2:$A$2000,0)),"（沒建檔）"))</f>
        <v/>
      </c>
      <c r="G1235" s="10" t="str">
        <f aca="false">IF($B1235="","",IF($D1235="","未還","已還"))</f>
        <v/>
      </c>
    </row>
    <row r="1236" customFormat="false" ht="15" hidden="false" customHeight="false" outlineLevel="0" collapsed="false">
      <c r="E1236" s="9" t="str">
        <f aca="false">IF($B1236="","",IFERROR(INDEX(書籍!$B$2:$B$2000,MATCH($B1236,書籍!$A$2:$A$2000,0)),"（沒建檔）"))</f>
        <v/>
      </c>
      <c r="F1236" s="9" t="str">
        <f aca="false">IF($A1236="","",IFERROR(INDEX(會員!$B$2:$B$2000,MATCH($A1236,會員!$A$2:$A$2000,0)),"（沒建檔）"))</f>
        <v/>
      </c>
      <c r="G1236" s="10" t="str">
        <f aca="false">IF($B1236="","",IF($D1236="","未還","已還"))</f>
        <v/>
      </c>
    </row>
    <row r="1237" customFormat="false" ht="15" hidden="false" customHeight="false" outlineLevel="0" collapsed="false">
      <c r="E1237" s="9" t="str">
        <f aca="false">IF($B1237="","",IFERROR(INDEX(書籍!$B$2:$B$2000,MATCH($B1237,書籍!$A$2:$A$2000,0)),"（沒建檔）"))</f>
        <v/>
      </c>
      <c r="F1237" s="9" t="str">
        <f aca="false">IF($A1237="","",IFERROR(INDEX(會員!$B$2:$B$2000,MATCH($A1237,會員!$A$2:$A$2000,0)),"（沒建檔）"))</f>
        <v/>
      </c>
      <c r="G1237" s="10" t="str">
        <f aca="false">IF($B1237="","",IF($D1237="","未還","已還"))</f>
        <v/>
      </c>
    </row>
    <row r="1238" customFormat="false" ht="15" hidden="false" customHeight="false" outlineLevel="0" collapsed="false">
      <c r="E1238" s="9" t="str">
        <f aca="false">IF($B1238="","",IFERROR(INDEX(書籍!$B$2:$B$2000,MATCH($B1238,書籍!$A$2:$A$2000,0)),"（沒建檔）"))</f>
        <v/>
      </c>
      <c r="F1238" s="9" t="str">
        <f aca="false">IF($A1238="","",IFERROR(INDEX(會員!$B$2:$B$2000,MATCH($A1238,會員!$A$2:$A$2000,0)),"（沒建檔）"))</f>
        <v/>
      </c>
      <c r="G1238" s="10" t="str">
        <f aca="false">IF($B1238="","",IF($D1238="","未還","已還"))</f>
        <v/>
      </c>
    </row>
    <row r="1239" customFormat="false" ht="15" hidden="false" customHeight="false" outlineLevel="0" collapsed="false">
      <c r="E1239" s="9" t="str">
        <f aca="false">IF($B1239="","",IFERROR(INDEX(書籍!$B$2:$B$2000,MATCH($B1239,書籍!$A$2:$A$2000,0)),"（沒建檔）"))</f>
        <v/>
      </c>
      <c r="F1239" s="9" t="str">
        <f aca="false">IF($A1239="","",IFERROR(INDEX(會員!$B$2:$B$2000,MATCH($A1239,會員!$A$2:$A$2000,0)),"（沒建檔）"))</f>
        <v/>
      </c>
      <c r="G1239" s="10" t="str">
        <f aca="false">IF($B1239="","",IF($D1239="","未還","已還"))</f>
        <v/>
      </c>
    </row>
    <row r="1240" customFormat="false" ht="15" hidden="false" customHeight="false" outlineLevel="0" collapsed="false">
      <c r="E1240" s="9" t="str">
        <f aca="false">IF($B1240="","",IFERROR(INDEX(書籍!$B$2:$B$2000,MATCH($B1240,書籍!$A$2:$A$2000,0)),"（沒建檔）"))</f>
        <v/>
      </c>
      <c r="F1240" s="9" t="str">
        <f aca="false">IF($A1240="","",IFERROR(INDEX(會員!$B$2:$B$2000,MATCH($A1240,會員!$A$2:$A$2000,0)),"（沒建檔）"))</f>
        <v/>
      </c>
      <c r="G1240" s="10" t="str">
        <f aca="false">IF($B1240="","",IF($D1240="","未還","已還"))</f>
        <v/>
      </c>
    </row>
    <row r="1241" customFormat="false" ht="15" hidden="false" customHeight="false" outlineLevel="0" collapsed="false">
      <c r="E1241" s="9" t="str">
        <f aca="false">IF($B1241="","",IFERROR(INDEX(書籍!$B$2:$B$2000,MATCH($B1241,書籍!$A$2:$A$2000,0)),"（沒建檔）"))</f>
        <v/>
      </c>
      <c r="F1241" s="9" t="str">
        <f aca="false">IF($A1241="","",IFERROR(INDEX(會員!$B$2:$B$2000,MATCH($A1241,會員!$A$2:$A$2000,0)),"（沒建檔）"))</f>
        <v/>
      </c>
      <c r="G1241" s="10" t="str">
        <f aca="false">IF($B1241="","",IF($D1241="","未還","已還"))</f>
        <v/>
      </c>
    </row>
    <row r="1242" customFormat="false" ht="15" hidden="false" customHeight="false" outlineLevel="0" collapsed="false">
      <c r="E1242" s="9" t="str">
        <f aca="false">IF($B1242="","",IFERROR(INDEX(書籍!$B$2:$B$2000,MATCH($B1242,書籍!$A$2:$A$2000,0)),"（沒建檔）"))</f>
        <v/>
      </c>
      <c r="F1242" s="9" t="str">
        <f aca="false">IF($A1242="","",IFERROR(INDEX(會員!$B$2:$B$2000,MATCH($A1242,會員!$A$2:$A$2000,0)),"（沒建檔）"))</f>
        <v/>
      </c>
      <c r="G1242" s="10" t="str">
        <f aca="false">IF($B1242="","",IF($D1242="","未還","已還"))</f>
        <v/>
      </c>
    </row>
    <row r="1243" customFormat="false" ht="15" hidden="false" customHeight="false" outlineLevel="0" collapsed="false">
      <c r="E1243" s="9" t="str">
        <f aca="false">IF($B1243="","",IFERROR(INDEX(書籍!$B$2:$B$2000,MATCH($B1243,書籍!$A$2:$A$2000,0)),"（沒建檔）"))</f>
        <v/>
      </c>
      <c r="F1243" s="9" t="str">
        <f aca="false">IF($A1243="","",IFERROR(INDEX(會員!$B$2:$B$2000,MATCH($A1243,會員!$A$2:$A$2000,0)),"（沒建檔）"))</f>
        <v/>
      </c>
      <c r="G1243" s="10" t="str">
        <f aca="false">IF($B1243="","",IF($D1243="","未還","已還"))</f>
        <v/>
      </c>
    </row>
    <row r="1244" customFormat="false" ht="15" hidden="false" customHeight="false" outlineLevel="0" collapsed="false">
      <c r="E1244" s="9" t="str">
        <f aca="false">IF($B1244="","",IFERROR(INDEX(書籍!$B$2:$B$2000,MATCH($B1244,書籍!$A$2:$A$2000,0)),"（沒建檔）"))</f>
        <v/>
      </c>
      <c r="F1244" s="9" t="str">
        <f aca="false">IF($A1244="","",IFERROR(INDEX(會員!$B$2:$B$2000,MATCH($A1244,會員!$A$2:$A$2000,0)),"（沒建檔）"))</f>
        <v/>
      </c>
      <c r="G1244" s="10" t="str">
        <f aca="false">IF($B1244="","",IF($D1244="","未還","已還"))</f>
        <v/>
      </c>
    </row>
    <row r="1245" customFormat="false" ht="15" hidden="false" customHeight="false" outlineLevel="0" collapsed="false">
      <c r="E1245" s="9" t="str">
        <f aca="false">IF($B1245="","",IFERROR(INDEX(書籍!$B$2:$B$2000,MATCH($B1245,書籍!$A$2:$A$2000,0)),"（沒建檔）"))</f>
        <v/>
      </c>
      <c r="F1245" s="9" t="str">
        <f aca="false">IF($A1245="","",IFERROR(INDEX(會員!$B$2:$B$2000,MATCH($A1245,會員!$A$2:$A$2000,0)),"（沒建檔）"))</f>
        <v/>
      </c>
      <c r="G1245" s="10" t="str">
        <f aca="false">IF($B1245="","",IF($D1245="","未還","已還"))</f>
        <v/>
      </c>
    </row>
    <row r="1246" customFormat="false" ht="15" hidden="false" customHeight="false" outlineLevel="0" collapsed="false">
      <c r="E1246" s="9" t="str">
        <f aca="false">IF($B1246="","",IFERROR(INDEX(書籍!$B$2:$B$2000,MATCH($B1246,書籍!$A$2:$A$2000,0)),"（沒建檔）"))</f>
        <v/>
      </c>
      <c r="F1246" s="9" t="str">
        <f aca="false">IF($A1246="","",IFERROR(INDEX(會員!$B$2:$B$2000,MATCH($A1246,會員!$A$2:$A$2000,0)),"（沒建檔）"))</f>
        <v/>
      </c>
      <c r="G1246" s="10" t="str">
        <f aca="false">IF($B1246="","",IF($D1246="","未還","已還"))</f>
        <v/>
      </c>
    </row>
    <row r="1247" customFormat="false" ht="15" hidden="false" customHeight="false" outlineLevel="0" collapsed="false">
      <c r="E1247" s="9" t="str">
        <f aca="false">IF($B1247="","",IFERROR(INDEX(書籍!$B$2:$B$2000,MATCH($B1247,書籍!$A$2:$A$2000,0)),"（沒建檔）"))</f>
        <v/>
      </c>
      <c r="F1247" s="9" t="str">
        <f aca="false">IF($A1247="","",IFERROR(INDEX(會員!$B$2:$B$2000,MATCH($A1247,會員!$A$2:$A$2000,0)),"（沒建檔）"))</f>
        <v/>
      </c>
      <c r="G1247" s="10" t="str">
        <f aca="false">IF($B1247="","",IF($D1247="","未還","已還"))</f>
        <v/>
      </c>
    </row>
    <row r="1248" customFormat="false" ht="15" hidden="false" customHeight="false" outlineLevel="0" collapsed="false">
      <c r="E1248" s="9" t="str">
        <f aca="false">IF($B1248="","",IFERROR(INDEX(書籍!$B$2:$B$2000,MATCH($B1248,書籍!$A$2:$A$2000,0)),"（沒建檔）"))</f>
        <v/>
      </c>
      <c r="F1248" s="9" t="str">
        <f aca="false">IF($A1248="","",IFERROR(INDEX(會員!$B$2:$B$2000,MATCH($A1248,會員!$A$2:$A$2000,0)),"（沒建檔）"))</f>
        <v/>
      </c>
      <c r="G1248" s="10" t="str">
        <f aca="false">IF($B1248="","",IF($D1248="","未還","已還"))</f>
        <v/>
      </c>
    </row>
    <row r="1249" customFormat="false" ht="15" hidden="false" customHeight="false" outlineLevel="0" collapsed="false">
      <c r="E1249" s="9" t="str">
        <f aca="false">IF($B1249="","",IFERROR(INDEX(書籍!$B$2:$B$2000,MATCH($B1249,書籍!$A$2:$A$2000,0)),"（沒建檔）"))</f>
        <v/>
      </c>
      <c r="F1249" s="9" t="str">
        <f aca="false">IF($A1249="","",IFERROR(INDEX(會員!$B$2:$B$2000,MATCH($A1249,會員!$A$2:$A$2000,0)),"（沒建檔）"))</f>
        <v/>
      </c>
      <c r="G1249" s="10" t="str">
        <f aca="false">IF($B1249="","",IF($D1249="","未還","已還"))</f>
        <v/>
      </c>
    </row>
    <row r="1250" customFormat="false" ht="15" hidden="false" customHeight="false" outlineLevel="0" collapsed="false">
      <c r="E1250" s="9" t="str">
        <f aca="false">IF($B1250="","",IFERROR(INDEX(書籍!$B$2:$B$2000,MATCH($B1250,書籍!$A$2:$A$2000,0)),"（沒建檔）"))</f>
        <v/>
      </c>
      <c r="F1250" s="9" t="str">
        <f aca="false">IF($A1250="","",IFERROR(INDEX(會員!$B$2:$B$2000,MATCH($A1250,會員!$A$2:$A$2000,0)),"（沒建檔）"))</f>
        <v/>
      </c>
      <c r="G1250" s="10" t="str">
        <f aca="false">IF($B1250="","",IF($D1250="","未還","已還"))</f>
        <v/>
      </c>
    </row>
    <row r="1251" customFormat="false" ht="15" hidden="false" customHeight="false" outlineLevel="0" collapsed="false">
      <c r="E1251" s="9" t="str">
        <f aca="false">IF($B1251="","",IFERROR(INDEX(書籍!$B$2:$B$2000,MATCH($B1251,書籍!$A$2:$A$2000,0)),"（沒建檔）"))</f>
        <v/>
      </c>
      <c r="F1251" s="9" t="str">
        <f aca="false">IF($A1251="","",IFERROR(INDEX(會員!$B$2:$B$2000,MATCH($A1251,會員!$A$2:$A$2000,0)),"（沒建檔）"))</f>
        <v/>
      </c>
      <c r="G1251" s="10" t="str">
        <f aca="false">IF($B1251="","",IF($D1251="","未還","已還"))</f>
        <v/>
      </c>
    </row>
    <row r="1252" customFormat="false" ht="15" hidden="false" customHeight="false" outlineLevel="0" collapsed="false">
      <c r="E1252" s="9" t="str">
        <f aca="false">IF($B1252="","",IFERROR(INDEX(書籍!$B$2:$B$2000,MATCH($B1252,書籍!$A$2:$A$2000,0)),"（沒建檔）"))</f>
        <v/>
      </c>
      <c r="F1252" s="9" t="str">
        <f aca="false">IF($A1252="","",IFERROR(INDEX(會員!$B$2:$B$2000,MATCH($A1252,會員!$A$2:$A$2000,0)),"（沒建檔）"))</f>
        <v/>
      </c>
      <c r="G1252" s="10" t="str">
        <f aca="false">IF($B1252="","",IF($D1252="","未還","已還"))</f>
        <v/>
      </c>
    </row>
    <row r="1253" customFormat="false" ht="15" hidden="false" customHeight="false" outlineLevel="0" collapsed="false">
      <c r="E1253" s="9" t="str">
        <f aca="false">IF($B1253="","",IFERROR(INDEX(書籍!$B$2:$B$2000,MATCH($B1253,書籍!$A$2:$A$2000,0)),"（沒建檔）"))</f>
        <v/>
      </c>
      <c r="F1253" s="9" t="str">
        <f aca="false">IF($A1253="","",IFERROR(INDEX(會員!$B$2:$B$2000,MATCH($A1253,會員!$A$2:$A$2000,0)),"（沒建檔）"))</f>
        <v/>
      </c>
      <c r="G1253" s="10" t="str">
        <f aca="false">IF($B1253="","",IF($D1253="","未還","已還"))</f>
        <v/>
      </c>
    </row>
    <row r="1254" customFormat="false" ht="15" hidden="false" customHeight="false" outlineLevel="0" collapsed="false">
      <c r="E1254" s="9" t="str">
        <f aca="false">IF($B1254="","",IFERROR(INDEX(書籍!$B$2:$B$2000,MATCH($B1254,書籍!$A$2:$A$2000,0)),"（沒建檔）"))</f>
        <v/>
      </c>
      <c r="F1254" s="9" t="str">
        <f aca="false">IF($A1254="","",IFERROR(INDEX(會員!$B$2:$B$2000,MATCH($A1254,會員!$A$2:$A$2000,0)),"（沒建檔）"))</f>
        <v/>
      </c>
      <c r="G1254" s="10" t="str">
        <f aca="false">IF($B1254="","",IF($D1254="","未還","已還"))</f>
        <v/>
      </c>
    </row>
    <row r="1255" customFormat="false" ht="15" hidden="false" customHeight="false" outlineLevel="0" collapsed="false">
      <c r="E1255" s="9" t="str">
        <f aca="false">IF($B1255="","",IFERROR(INDEX(書籍!$B$2:$B$2000,MATCH($B1255,書籍!$A$2:$A$2000,0)),"（沒建檔）"))</f>
        <v/>
      </c>
      <c r="F1255" s="9" t="str">
        <f aca="false">IF($A1255="","",IFERROR(INDEX(會員!$B$2:$B$2000,MATCH($A1255,會員!$A$2:$A$2000,0)),"（沒建檔）"))</f>
        <v/>
      </c>
      <c r="G1255" s="10" t="str">
        <f aca="false">IF($B1255="","",IF($D1255="","未還","已還"))</f>
        <v/>
      </c>
    </row>
    <row r="1256" customFormat="false" ht="15" hidden="false" customHeight="false" outlineLevel="0" collapsed="false">
      <c r="E1256" s="9" t="str">
        <f aca="false">IF($B1256="","",IFERROR(INDEX(書籍!$B$2:$B$2000,MATCH($B1256,書籍!$A$2:$A$2000,0)),"（沒建檔）"))</f>
        <v/>
      </c>
      <c r="F1256" s="9" t="str">
        <f aca="false">IF($A1256="","",IFERROR(INDEX(會員!$B$2:$B$2000,MATCH($A1256,會員!$A$2:$A$2000,0)),"（沒建檔）"))</f>
        <v/>
      </c>
      <c r="G1256" s="10" t="str">
        <f aca="false">IF($B1256="","",IF($D1256="","未還","已還"))</f>
        <v/>
      </c>
    </row>
    <row r="1257" customFormat="false" ht="15" hidden="false" customHeight="false" outlineLevel="0" collapsed="false">
      <c r="E1257" s="9" t="str">
        <f aca="false">IF($B1257="","",IFERROR(INDEX(書籍!$B$2:$B$2000,MATCH($B1257,書籍!$A$2:$A$2000,0)),"（沒建檔）"))</f>
        <v/>
      </c>
      <c r="F1257" s="9" t="str">
        <f aca="false">IF($A1257="","",IFERROR(INDEX(會員!$B$2:$B$2000,MATCH($A1257,會員!$A$2:$A$2000,0)),"（沒建檔）"))</f>
        <v/>
      </c>
      <c r="G1257" s="10" t="str">
        <f aca="false">IF($B1257="","",IF($D1257="","未還","已還"))</f>
        <v/>
      </c>
    </row>
    <row r="1258" customFormat="false" ht="15" hidden="false" customHeight="false" outlineLevel="0" collapsed="false">
      <c r="E1258" s="9" t="str">
        <f aca="false">IF($B1258="","",IFERROR(INDEX(書籍!$B$2:$B$2000,MATCH($B1258,書籍!$A$2:$A$2000,0)),"（沒建檔）"))</f>
        <v/>
      </c>
      <c r="F1258" s="9" t="str">
        <f aca="false">IF($A1258="","",IFERROR(INDEX(會員!$B$2:$B$2000,MATCH($A1258,會員!$A$2:$A$2000,0)),"（沒建檔）"))</f>
        <v/>
      </c>
      <c r="G1258" s="10" t="str">
        <f aca="false">IF($B1258="","",IF($D1258="","未還","已還"))</f>
        <v/>
      </c>
    </row>
    <row r="1259" customFormat="false" ht="15" hidden="false" customHeight="false" outlineLevel="0" collapsed="false">
      <c r="E1259" s="9" t="str">
        <f aca="false">IF($B1259="","",IFERROR(INDEX(書籍!$B$2:$B$2000,MATCH($B1259,書籍!$A$2:$A$2000,0)),"（沒建檔）"))</f>
        <v/>
      </c>
      <c r="F1259" s="9" t="str">
        <f aca="false">IF($A1259="","",IFERROR(INDEX(會員!$B$2:$B$2000,MATCH($A1259,會員!$A$2:$A$2000,0)),"（沒建檔）"))</f>
        <v/>
      </c>
      <c r="G1259" s="10" t="str">
        <f aca="false">IF($B1259="","",IF($D1259="","未還","已還"))</f>
        <v/>
      </c>
    </row>
    <row r="1260" customFormat="false" ht="15" hidden="false" customHeight="false" outlineLevel="0" collapsed="false">
      <c r="E1260" s="9" t="str">
        <f aca="false">IF($B1260="","",IFERROR(INDEX(書籍!$B$2:$B$2000,MATCH($B1260,書籍!$A$2:$A$2000,0)),"（沒建檔）"))</f>
        <v/>
      </c>
      <c r="F1260" s="9" t="str">
        <f aca="false">IF($A1260="","",IFERROR(INDEX(會員!$B$2:$B$2000,MATCH($A1260,會員!$A$2:$A$2000,0)),"（沒建檔）"))</f>
        <v/>
      </c>
      <c r="G1260" s="10" t="str">
        <f aca="false">IF($B1260="","",IF($D1260="","未還","已還"))</f>
        <v/>
      </c>
    </row>
    <row r="1261" customFormat="false" ht="15" hidden="false" customHeight="false" outlineLevel="0" collapsed="false">
      <c r="E1261" s="9" t="str">
        <f aca="false">IF($B1261="","",IFERROR(INDEX(書籍!$B$2:$B$2000,MATCH($B1261,書籍!$A$2:$A$2000,0)),"（沒建檔）"))</f>
        <v/>
      </c>
      <c r="F1261" s="9" t="str">
        <f aca="false">IF($A1261="","",IFERROR(INDEX(會員!$B$2:$B$2000,MATCH($A1261,會員!$A$2:$A$2000,0)),"（沒建檔）"))</f>
        <v/>
      </c>
      <c r="G1261" s="10" t="str">
        <f aca="false">IF($B1261="","",IF($D1261="","未還","已還"))</f>
        <v/>
      </c>
    </row>
    <row r="1262" customFormat="false" ht="15" hidden="false" customHeight="false" outlineLevel="0" collapsed="false">
      <c r="E1262" s="9" t="str">
        <f aca="false">IF($B1262="","",IFERROR(INDEX(書籍!$B$2:$B$2000,MATCH($B1262,書籍!$A$2:$A$2000,0)),"（沒建檔）"))</f>
        <v/>
      </c>
      <c r="F1262" s="9" t="str">
        <f aca="false">IF($A1262="","",IFERROR(INDEX(會員!$B$2:$B$2000,MATCH($A1262,會員!$A$2:$A$2000,0)),"（沒建檔）"))</f>
        <v/>
      </c>
      <c r="G1262" s="10" t="str">
        <f aca="false">IF($B1262="","",IF($D1262="","未還","已還"))</f>
        <v/>
      </c>
    </row>
    <row r="1263" customFormat="false" ht="15" hidden="false" customHeight="false" outlineLevel="0" collapsed="false">
      <c r="E1263" s="9" t="str">
        <f aca="false">IF($B1263="","",IFERROR(INDEX(書籍!$B$2:$B$2000,MATCH($B1263,書籍!$A$2:$A$2000,0)),"（沒建檔）"))</f>
        <v/>
      </c>
      <c r="F1263" s="9" t="str">
        <f aca="false">IF($A1263="","",IFERROR(INDEX(會員!$B$2:$B$2000,MATCH($A1263,會員!$A$2:$A$2000,0)),"（沒建檔）"))</f>
        <v/>
      </c>
      <c r="G1263" s="10" t="str">
        <f aca="false">IF($B1263="","",IF($D1263="","未還","已還"))</f>
        <v/>
      </c>
    </row>
    <row r="1264" customFormat="false" ht="15" hidden="false" customHeight="false" outlineLevel="0" collapsed="false">
      <c r="E1264" s="9" t="str">
        <f aca="false">IF($B1264="","",IFERROR(INDEX(書籍!$B$2:$B$2000,MATCH($B1264,書籍!$A$2:$A$2000,0)),"（沒建檔）"))</f>
        <v/>
      </c>
      <c r="F1264" s="9" t="str">
        <f aca="false">IF($A1264="","",IFERROR(INDEX(會員!$B$2:$B$2000,MATCH($A1264,會員!$A$2:$A$2000,0)),"（沒建檔）"))</f>
        <v/>
      </c>
      <c r="G1264" s="10" t="str">
        <f aca="false">IF($B1264="","",IF($D1264="","未還","已還"))</f>
        <v/>
      </c>
    </row>
    <row r="1265" customFormat="false" ht="15" hidden="false" customHeight="false" outlineLevel="0" collapsed="false">
      <c r="E1265" s="9" t="str">
        <f aca="false">IF($B1265="","",IFERROR(INDEX(書籍!$B$2:$B$2000,MATCH($B1265,書籍!$A$2:$A$2000,0)),"（沒建檔）"))</f>
        <v/>
      </c>
      <c r="F1265" s="9" t="str">
        <f aca="false">IF($A1265="","",IFERROR(INDEX(會員!$B$2:$B$2000,MATCH($A1265,會員!$A$2:$A$2000,0)),"（沒建檔）"))</f>
        <v/>
      </c>
      <c r="G1265" s="10" t="str">
        <f aca="false">IF($B1265="","",IF($D1265="","未還","已還"))</f>
        <v/>
      </c>
    </row>
    <row r="1266" customFormat="false" ht="15" hidden="false" customHeight="false" outlineLevel="0" collapsed="false">
      <c r="E1266" s="9" t="str">
        <f aca="false">IF($B1266="","",IFERROR(INDEX(書籍!$B$2:$B$2000,MATCH($B1266,書籍!$A$2:$A$2000,0)),"（沒建檔）"))</f>
        <v/>
      </c>
      <c r="F1266" s="9" t="str">
        <f aca="false">IF($A1266="","",IFERROR(INDEX(會員!$B$2:$B$2000,MATCH($A1266,會員!$A$2:$A$2000,0)),"（沒建檔）"))</f>
        <v/>
      </c>
      <c r="G1266" s="10" t="str">
        <f aca="false">IF($B1266="","",IF($D1266="","未還","已還"))</f>
        <v/>
      </c>
    </row>
    <row r="1267" customFormat="false" ht="15" hidden="false" customHeight="false" outlineLevel="0" collapsed="false">
      <c r="E1267" s="9" t="str">
        <f aca="false">IF($B1267="","",IFERROR(INDEX(書籍!$B$2:$B$2000,MATCH($B1267,書籍!$A$2:$A$2000,0)),"（沒建檔）"))</f>
        <v/>
      </c>
      <c r="F1267" s="9" t="str">
        <f aca="false">IF($A1267="","",IFERROR(INDEX(會員!$B$2:$B$2000,MATCH($A1267,會員!$A$2:$A$2000,0)),"（沒建檔）"))</f>
        <v/>
      </c>
      <c r="G1267" s="10" t="str">
        <f aca="false">IF($B1267="","",IF($D1267="","未還","已還"))</f>
        <v/>
      </c>
    </row>
    <row r="1268" customFormat="false" ht="15" hidden="false" customHeight="false" outlineLevel="0" collapsed="false">
      <c r="E1268" s="9" t="str">
        <f aca="false">IF($B1268="","",IFERROR(INDEX(書籍!$B$2:$B$2000,MATCH($B1268,書籍!$A$2:$A$2000,0)),"（沒建檔）"))</f>
        <v/>
      </c>
      <c r="F1268" s="9" t="str">
        <f aca="false">IF($A1268="","",IFERROR(INDEX(會員!$B$2:$B$2000,MATCH($A1268,會員!$A$2:$A$2000,0)),"（沒建檔）"))</f>
        <v/>
      </c>
      <c r="G1268" s="10" t="str">
        <f aca="false">IF($B1268="","",IF($D1268="","未還","已還"))</f>
        <v/>
      </c>
    </row>
    <row r="1269" customFormat="false" ht="15" hidden="false" customHeight="false" outlineLevel="0" collapsed="false">
      <c r="E1269" s="9" t="str">
        <f aca="false">IF($B1269="","",IFERROR(INDEX(書籍!$B$2:$B$2000,MATCH($B1269,書籍!$A$2:$A$2000,0)),"（沒建檔）"))</f>
        <v/>
      </c>
      <c r="F1269" s="9" t="str">
        <f aca="false">IF($A1269="","",IFERROR(INDEX(會員!$B$2:$B$2000,MATCH($A1269,會員!$A$2:$A$2000,0)),"（沒建檔）"))</f>
        <v/>
      </c>
      <c r="G1269" s="10" t="str">
        <f aca="false">IF($B1269="","",IF($D1269="","未還","已還"))</f>
        <v/>
      </c>
    </row>
    <row r="1270" customFormat="false" ht="15" hidden="false" customHeight="false" outlineLevel="0" collapsed="false">
      <c r="E1270" s="9" t="str">
        <f aca="false">IF($B1270="","",IFERROR(INDEX(書籍!$B$2:$B$2000,MATCH($B1270,書籍!$A$2:$A$2000,0)),"（沒建檔）"))</f>
        <v/>
      </c>
      <c r="F1270" s="9" t="str">
        <f aca="false">IF($A1270="","",IFERROR(INDEX(會員!$B$2:$B$2000,MATCH($A1270,會員!$A$2:$A$2000,0)),"（沒建檔）"))</f>
        <v/>
      </c>
      <c r="G1270" s="10" t="str">
        <f aca="false">IF($B1270="","",IF($D1270="","未還","已還"))</f>
        <v/>
      </c>
    </row>
    <row r="1271" customFormat="false" ht="15" hidden="false" customHeight="false" outlineLevel="0" collapsed="false">
      <c r="E1271" s="9" t="str">
        <f aca="false">IF($B1271="","",IFERROR(INDEX(書籍!$B$2:$B$2000,MATCH($B1271,書籍!$A$2:$A$2000,0)),"（沒建檔）"))</f>
        <v/>
      </c>
      <c r="F1271" s="9" t="str">
        <f aca="false">IF($A1271="","",IFERROR(INDEX(會員!$B$2:$B$2000,MATCH($A1271,會員!$A$2:$A$2000,0)),"（沒建檔）"))</f>
        <v/>
      </c>
      <c r="G1271" s="10" t="str">
        <f aca="false">IF($B1271="","",IF($D1271="","未還","已還"))</f>
        <v/>
      </c>
    </row>
    <row r="1272" customFormat="false" ht="15" hidden="false" customHeight="false" outlineLevel="0" collapsed="false">
      <c r="E1272" s="9" t="str">
        <f aca="false">IF($B1272="","",IFERROR(INDEX(書籍!$B$2:$B$2000,MATCH($B1272,書籍!$A$2:$A$2000,0)),"（沒建檔）"))</f>
        <v/>
      </c>
      <c r="F1272" s="9" t="str">
        <f aca="false">IF($A1272="","",IFERROR(INDEX(會員!$B$2:$B$2000,MATCH($A1272,會員!$A$2:$A$2000,0)),"（沒建檔）"))</f>
        <v/>
      </c>
      <c r="G1272" s="10" t="str">
        <f aca="false">IF($B1272="","",IF($D1272="","未還","已還"))</f>
        <v/>
      </c>
    </row>
    <row r="1273" customFormat="false" ht="15" hidden="false" customHeight="false" outlineLevel="0" collapsed="false">
      <c r="E1273" s="9" t="str">
        <f aca="false">IF($B1273="","",IFERROR(INDEX(書籍!$B$2:$B$2000,MATCH($B1273,書籍!$A$2:$A$2000,0)),"（沒建檔）"))</f>
        <v/>
      </c>
      <c r="F1273" s="9" t="str">
        <f aca="false">IF($A1273="","",IFERROR(INDEX(會員!$B$2:$B$2000,MATCH($A1273,會員!$A$2:$A$2000,0)),"（沒建檔）"))</f>
        <v/>
      </c>
      <c r="G1273" s="10" t="str">
        <f aca="false">IF($B1273="","",IF($D1273="","未還","已還"))</f>
        <v/>
      </c>
    </row>
    <row r="1274" customFormat="false" ht="15" hidden="false" customHeight="false" outlineLevel="0" collapsed="false">
      <c r="E1274" s="9" t="str">
        <f aca="false">IF($B1274="","",IFERROR(INDEX(書籍!$B$2:$B$2000,MATCH($B1274,書籍!$A$2:$A$2000,0)),"（沒建檔）"))</f>
        <v/>
      </c>
      <c r="F1274" s="9" t="str">
        <f aca="false">IF($A1274="","",IFERROR(INDEX(會員!$B$2:$B$2000,MATCH($A1274,會員!$A$2:$A$2000,0)),"（沒建檔）"))</f>
        <v/>
      </c>
      <c r="G1274" s="10" t="str">
        <f aca="false">IF($B1274="","",IF($D1274="","未還","已還"))</f>
        <v/>
      </c>
    </row>
    <row r="1275" customFormat="false" ht="15" hidden="false" customHeight="false" outlineLevel="0" collapsed="false">
      <c r="E1275" s="9" t="str">
        <f aca="false">IF($B1275="","",IFERROR(INDEX(書籍!$B$2:$B$2000,MATCH($B1275,書籍!$A$2:$A$2000,0)),"（沒建檔）"))</f>
        <v/>
      </c>
      <c r="F1275" s="9" t="str">
        <f aca="false">IF($A1275="","",IFERROR(INDEX(會員!$B$2:$B$2000,MATCH($A1275,會員!$A$2:$A$2000,0)),"（沒建檔）"))</f>
        <v/>
      </c>
      <c r="G1275" s="10" t="str">
        <f aca="false">IF($B1275="","",IF($D1275="","未還","已還"))</f>
        <v/>
      </c>
    </row>
    <row r="1276" customFormat="false" ht="15" hidden="false" customHeight="false" outlineLevel="0" collapsed="false">
      <c r="E1276" s="9" t="str">
        <f aca="false">IF($B1276="","",IFERROR(INDEX(書籍!$B$2:$B$2000,MATCH($B1276,書籍!$A$2:$A$2000,0)),"（沒建檔）"))</f>
        <v/>
      </c>
      <c r="F1276" s="9" t="str">
        <f aca="false">IF($A1276="","",IFERROR(INDEX(會員!$B$2:$B$2000,MATCH($A1276,會員!$A$2:$A$2000,0)),"（沒建檔）"))</f>
        <v/>
      </c>
      <c r="G1276" s="10" t="str">
        <f aca="false">IF($B1276="","",IF($D1276="","未還","已還"))</f>
        <v/>
      </c>
    </row>
    <row r="1277" customFormat="false" ht="15" hidden="false" customHeight="false" outlineLevel="0" collapsed="false">
      <c r="E1277" s="9" t="str">
        <f aca="false">IF($B1277="","",IFERROR(INDEX(書籍!$B$2:$B$2000,MATCH($B1277,書籍!$A$2:$A$2000,0)),"（沒建檔）"))</f>
        <v/>
      </c>
      <c r="F1277" s="9" t="str">
        <f aca="false">IF($A1277="","",IFERROR(INDEX(會員!$B$2:$B$2000,MATCH($A1277,會員!$A$2:$A$2000,0)),"（沒建檔）"))</f>
        <v/>
      </c>
      <c r="G1277" s="10" t="str">
        <f aca="false">IF($B1277="","",IF($D1277="","未還","已還"))</f>
        <v/>
      </c>
    </row>
    <row r="1278" customFormat="false" ht="15" hidden="false" customHeight="false" outlineLevel="0" collapsed="false">
      <c r="E1278" s="9" t="str">
        <f aca="false">IF($B1278="","",IFERROR(INDEX(書籍!$B$2:$B$2000,MATCH($B1278,書籍!$A$2:$A$2000,0)),"（沒建檔）"))</f>
        <v/>
      </c>
      <c r="F1278" s="9" t="str">
        <f aca="false">IF($A1278="","",IFERROR(INDEX(會員!$B$2:$B$2000,MATCH($A1278,會員!$A$2:$A$2000,0)),"（沒建檔）"))</f>
        <v/>
      </c>
      <c r="G1278" s="10" t="str">
        <f aca="false">IF($B1278="","",IF($D1278="","未還","已還"))</f>
        <v/>
      </c>
    </row>
    <row r="1279" customFormat="false" ht="15" hidden="false" customHeight="false" outlineLevel="0" collapsed="false">
      <c r="E1279" s="9" t="str">
        <f aca="false">IF($B1279="","",IFERROR(INDEX(書籍!$B$2:$B$2000,MATCH($B1279,書籍!$A$2:$A$2000,0)),"（沒建檔）"))</f>
        <v/>
      </c>
      <c r="F1279" s="9" t="str">
        <f aca="false">IF($A1279="","",IFERROR(INDEX(會員!$B$2:$B$2000,MATCH($A1279,會員!$A$2:$A$2000,0)),"（沒建檔）"))</f>
        <v/>
      </c>
      <c r="G1279" s="10" t="str">
        <f aca="false">IF($B1279="","",IF($D1279="","未還","已還"))</f>
        <v/>
      </c>
    </row>
    <row r="1280" customFormat="false" ht="15" hidden="false" customHeight="false" outlineLevel="0" collapsed="false">
      <c r="E1280" s="9" t="str">
        <f aca="false">IF($B1280="","",IFERROR(INDEX(書籍!$B$2:$B$2000,MATCH($B1280,書籍!$A$2:$A$2000,0)),"（沒建檔）"))</f>
        <v/>
      </c>
      <c r="F1280" s="9" t="str">
        <f aca="false">IF($A1280="","",IFERROR(INDEX(會員!$B$2:$B$2000,MATCH($A1280,會員!$A$2:$A$2000,0)),"（沒建檔）"))</f>
        <v/>
      </c>
      <c r="G1280" s="10" t="str">
        <f aca="false">IF($B1280="","",IF($D1280="","未還","已還"))</f>
        <v/>
      </c>
    </row>
    <row r="1281" customFormat="false" ht="15" hidden="false" customHeight="false" outlineLevel="0" collapsed="false">
      <c r="E1281" s="9" t="str">
        <f aca="false">IF($B1281="","",IFERROR(INDEX(書籍!$B$2:$B$2000,MATCH($B1281,書籍!$A$2:$A$2000,0)),"（沒建檔）"))</f>
        <v/>
      </c>
      <c r="F1281" s="9" t="str">
        <f aca="false">IF($A1281="","",IFERROR(INDEX(會員!$B$2:$B$2000,MATCH($A1281,會員!$A$2:$A$2000,0)),"（沒建檔）"))</f>
        <v/>
      </c>
      <c r="G1281" s="10" t="str">
        <f aca="false">IF($B1281="","",IF($D1281="","未還","已還"))</f>
        <v/>
      </c>
    </row>
    <row r="1282" customFormat="false" ht="15" hidden="false" customHeight="false" outlineLevel="0" collapsed="false">
      <c r="E1282" s="9" t="str">
        <f aca="false">IF($B1282="","",IFERROR(INDEX(書籍!$B$2:$B$2000,MATCH($B1282,書籍!$A$2:$A$2000,0)),"（沒建檔）"))</f>
        <v/>
      </c>
      <c r="F1282" s="9" t="str">
        <f aca="false">IF($A1282="","",IFERROR(INDEX(會員!$B$2:$B$2000,MATCH($A1282,會員!$A$2:$A$2000,0)),"（沒建檔）"))</f>
        <v/>
      </c>
      <c r="G1282" s="10" t="str">
        <f aca="false">IF($B1282="","",IF($D1282="","未還","已還"))</f>
        <v/>
      </c>
    </row>
    <row r="1283" customFormat="false" ht="15" hidden="false" customHeight="false" outlineLevel="0" collapsed="false">
      <c r="E1283" s="9" t="str">
        <f aca="false">IF($B1283="","",IFERROR(INDEX(書籍!$B$2:$B$2000,MATCH($B1283,書籍!$A$2:$A$2000,0)),"（沒建檔）"))</f>
        <v/>
      </c>
      <c r="F1283" s="9" t="str">
        <f aca="false">IF($A1283="","",IFERROR(INDEX(會員!$B$2:$B$2000,MATCH($A1283,會員!$A$2:$A$2000,0)),"（沒建檔）"))</f>
        <v/>
      </c>
      <c r="G1283" s="10" t="str">
        <f aca="false">IF($B1283="","",IF($D1283="","未還","已還"))</f>
        <v/>
      </c>
    </row>
    <row r="1284" customFormat="false" ht="15" hidden="false" customHeight="false" outlineLevel="0" collapsed="false">
      <c r="E1284" s="9" t="str">
        <f aca="false">IF($B1284="","",IFERROR(INDEX(書籍!$B$2:$B$2000,MATCH($B1284,書籍!$A$2:$A$2000,0)),"（沒建檔）"))</f>
        <v/>
      </c>
      <c r="F1284" s="9" t="str">
        <f aca="false">IF($A1284="","",IFERROR(INDEX(會員!$B$2:$B$2000,MATCH($A1284,會員!$A$2:$A$2000,0)),"（沒建檔）"))</f>
        <v/>
      </c>
      <c r="G1284" s="10" t="str">
        <f aca="false">IF($B1284="","",IF($D1284="","未還","已還"))</f>
        <v/>
      </c>
    </row>
    <row r="1285" customFormat="false" ht="15" hidden="false" customHeight="false" outlineLevel="0" collapsed="false">
      <c r="E1285" s="9" t="str">
        <f aca="false">IF($B1285="","",IFERROR(INDEX(書籍!$B$2:$B$2000,MATCH($B1285,書籍!$A$2:$A$2000,0)),"（沒建檔）"))</f>
        <v/>
      </c>
      <c r="F1285" s="9" t="str">
        <f aca="false">IF($A1285="","",IFERROR(INDEX(會員!$B$2:$B$2000,MATCH($A1285,會員!$A$2:$A$2000,0)),"（沒建檔）"))</f>
        <v/>
      </c>
      <c r="G1285" s="10" t="str">
        <f aca="false">IF($B1285="","",IF($D1285="","未還","已還"))</f>
        <v/>
      </c>
    </row>
    <row r="1286" customFormat="false" ht="15" hidden="false" customHeight="false" outlineLevel="0" collapsed="false">
      <c r="E1286" s="9" t="str">
        <f aca="false">IF($B1286="","",IFERROR(INDEX(書籍!$B$2:$B$2000,MATCH($B1286,書籍!$A$2:$A$2000,0)),"（沒建檔）"))</f>
        <v/>
      </c>
      <c r="F1286" s="9" t="str">
        <f aca="false">IF($A1286="","",IFERROR(INDEX(會員!$B$2:$B$2000,MATCH($A1286,會員!$A$2:$A$2000,0)),"（沒建檔）"))</f>
        <v/>
      </c>
      <c r="G1286" s="10" t="str">
        <f aca="false">IF($B1286="","",IF($D1286="","未還","已還"))</f>
        <v/>
      </c>
    </row>
    <row r="1287" customFormat="false" ht="15" hidden="false" customHeight="false" outlineLevel="0" collapsed="false">
      <c r="E1287" s="9" t="str">
        <f aca="false">IF($B1287="","",IFERROR(INDEX(書籍!$B$2:$B$2000,MATCH($B1287,書籍!$A$2:$A$2000,0)),"（沒建檔）"))</f>
        <v/>
      </c>
      <c r="F1287" s="9" t="str">
        <f aca="false">IF($A1287="","",IFERROR(INDEX(會員!$B$2:$B$2000,MATCH($A1287,會員!$A$2:$A$2000,0)),"（沒建檔）"))</f>
        <v/>
      </c>
      <c r="G1287" s="10" t="str">
        <f aca="false">IF($B1287="","",IF($D1287="","未還","已還"))</f>
        <v/>
      </c>
    </row>
    <row r="1288" customFormat="false" ht="15" hidden="false" customHeight="false" outlineLevel="0" collapsed="false">
      <c r="E1288" s="9" t="str">
        <f aca="false">IF($B1288="","",IFERROR(INDEX(書籍!$B$2:$B$2000,MATCH($B1288,書籍!$A$2:$A$2000,0)),"（沒建檔）"))</f>
        <v/>
      </c>
      <c r="F1288" s="9" t="str">
        <f aca="false">IF($A1288="","",IFERROR(INDEX(會員!$B$2:$B$2000,MATCH($A1288,會員!$A$2:$A$2000,0)),"（沒建檔）"))</f>
        <v/>
      </c>
      <c r="G1288" s="10" t="str">
        <f aca="false">IF($B1288="","",IF($D1288="","未還","已還"))</f>
        <v/>
      </c>
    </row>
    <row r="1289" customFormat="false" ht="15" hidden="false" customHeight="false" outlineLevel="0" collapsed="false">
      <c r="E1289" s="9" t="str">
        <f aca="false">IF($B1289="","",IFERROR(INDEX(書籍!$B$2:$B$2000,MATCH($B1289,書籍!$A$2:$A$2000,0)),"（沒建檔）"))</f>
        <v/>
      </c>
      <c r="F1289" s="9" t="str">
        <f aca="false">IF($A1289="","",IFERROR(INDEX(會員!$B$2:$B$2000,MATCH($A1289,會員!$A$2:$A$2000,0)),"（沒建檔）"))</f>
        <v/>
      </c>
      <c r="G1289" s="10" t="str">
        <f aca="false">IF($B1289="","",IF($D1289="","未還","已還"))</f>
        <v/>
      </c>
    </row>
    <row r="1290" customFormat="false" ht="15" hidden="false" customHeight="false" outlineLevel="0" collapsed="false">
      <c r="E1290" s="9" t="str">
        <f aca="false">IF($B1290="","",IFERROR(INDEX(書籍!$B$2:$B$2000,MATCH($B1290,書籍!$A$2:$A$2000,0)),"（沒建檔）"))</f>
        <v/>
      </c>
      <c r="F1290" s="9" t="str">
        <f aca="false">IF($A1290="","",IFERROR(INDEX(會員!$B$2:$B$2000,MATCH($A1290,會員!$A$2:$A$2000,0)),"（沒建檔）"))</f>
        <v/>
      </c>
      <c r="G1290" s="10" t="str">
        <f aca="false">IF($B1290="","",IF($D1290="","未還","已還"))</f>
        <v/>
      </c>
    </row>
    <row r="1291" customFormat="false" ht="15" hidden="false" customHeight="false" outlineLevel="0" collapsed="false">
      <c r="E1291" s="9" t="str">
        <f aca="false">IF($B1291="","",IFERROR(INDEX(書籍!$B$2:$B$2000,MATCH($B1291,書籍!$A$2:$A$2000,0)),"（沒建檔）"))</f>
        <v/>
      </c>
      <c r="F1291" s="9" t="str">
        <f aca="false">IF($A1291="","",IFERROR(INDEX(會員!$B$2:$B$2000,MATCH($A1291,會員!$A$2:$A$2000,0)),"（沒建檔）"))</f>
        <v/>
      </c>
      <c r="G1291" s="10" t="str">
        <f aca="false">IF($B1291="","",IF($D1291="","未還","已還"))</f>
        <v/>
      </c>
    </row>
    <row r="1292" customFormat="false" ht="15" hidden="false" customHeight="false" outlineLevel="0" collapsed="false">
      <c r="E1292" s="9" t="str">
        <f aca="false">IF($B1292="","",IFERROR(INDEX(書籍!$B$2:$B$2000,MATCH($B1292,書籍!$A$2:$A$2000,0)),"（沒建檔）"))</f>
        <v/>
      </c>
      <c r="F1292" s="9" t="str">
        <f aca="false">IF($A1292="","",IFERROR(INDEX(會員!$B$2:$B$2000,MATCH($A1292,會員!$A$2:$A$2000,0)),"（沒建檔）"))</f>
        <v/>
      </c>
      <c r="G1292" s="10" t="str">
        <f aca="false">IF($B1292="","",IF($D1292="","未還","已還"))</f>
        <v/>
      </c>
    </row>
    <row r="1293" customFormat="false" ht="15" hidden="false" customHeight="false" outlineLevel="0" collapsed="false">
      <c r="E1293" s="9" t="str">
        <f aca="false">IF($B1293="","",IFERROR(INDEX(書籍!$B$2:$B$2000,MATCH($B1293,書籍!$A$2:$A$2000,0)),"（沒建檔）"))</f>
        <v/>
      </c>
      <c r="F1293" s="9" t="str">
        <f aca="false">IF($A1293="","",IFERROR(INDEX(會員!$B$2:$B$2000,MATCH($A1293,會員!$A$2:$A$2000,0)),"（沒建檔）"))</f>
        <v/>
      </c>
      <c r="G1293" s="10" t="str">
        <f aca="false">IF($B1293="","",IF($D1293="","未還","已還"))</f>
        <v/>
      </c>
    </row>
    <row r="1294" customFormat="false" ht="15" hidden="false" customHeight="false" outlineLevel="0" collapsed="false">
      <c r="E1294" s="9" t="str">
        <f aca="false">IF($B1294="","",IFERROR(INDEX(書籍!$B$2:$B$2000,MATCH($B1294,書籍!$A$2:$A$2000,0)),"（沒建檔）"))</f>
        <v/>
      </c>
      <c r="F1294" s="9" t="str">
        <f aca="false">IF($A1294="","",IFERROR(INDEX(會員!$B$2:$B$2000,MATCH($A1294,會員!$A$2:$A$2000,0)),"（沒建檔）"))</f>
        <v/>
      </c>
      <c r="G1294" s="10" t="str">
        <f aca="false">IF($B1294="","",IF($D1294="","未還","已還"))</f>
        <v/>
      </c>
    </row>
    <row r="1295" customFormat="false" ht="15" hidden="false" customHeight="false" outlineLevel="0" collapsed="false">
      <c r="E1295" s="9" t="str">
        <f aca="false">IF($B1295="","",IFERROR(INDEX(書籍!$B$2:$B$2000,MATCH($B1295,書籍!$A$2:$A$2000,0)),"（沒建檔）"))</f>
        <v/>
      </c>
      <c r="F1295" s="9" t="str">
        <f aca="false">IF($A1295="","",IFERROR(INDEX(會員!$B$2:$B$2000,MATCH($A1295,會員!$A$2:$A$2000,0)),"（沒建檔）"))</f>
        <v/>
      </c>
      <c r="G1295" s="10" t="str">
        <f aca="false">IF($B1295="","",IF($D1295="","未還","已還"))</f>
        <v/>
      </c>
    </row>
    <row r="1296" customFormat="false" ht="15" hidden="false" customHeight="false" outlineLevel="0" collapsed="false">
      <c r="E1296" s="9" t="str">
        <f aca="false">IF($B1296="","",IFERROR(INDEX(書籍!$B$2:$B$2000,MATCH($B1296,書籍!$A$2:$A$2000,0)),"（沒建檔）"))</f>
        <v/>
      </c>
      <c r="F1296" s="9" t="str">
        <f aca="false">IF($A1296="","",IFERROR(INDEX(會員!$B$2:$B$2000,MATCH($A1296,會員!$A$2:$A$2000,0)),"（沒建檔）"))</f>
        <v/>
      </c>
      <c r="G1296" s="10" t="str">
        <f aca="false">IF($B1296="","",IF($D1296="","未還","已還"))</f>
        <v/>
      </c>
    </row>
    <row r="1297" customFormat="false" ht="15" hidden="false" customHeight="false" outlineLevel="0" collapsed="false">
      <c r="E1297" s="9" t="str">
        <f aca="false">IF($B1297="","",IFERROR(INDEX(書籍!$B$2:$B$2000,MATCH($B1297,書籍!$A$2:$A$2000,0)),"（沒建檔）"))</f>
        <v/>
      </c>
      <c r="F1297" s="9" t="str">
        <f aca="false">IF($A1297="","",IFERROR(INDEX(會員!$B$2:$B$2000,MATCH($A1297,會員!$A$2:$A$2000,0)),"（沒建檔）"))</f>
        <v/>
      </c>
      <c r="G1297" s="10" t="str">
        <f aca="false">IF($B1297="","",IF($D1297="","未還","已還"))</f>
        <v/>
      </c>
    </row>
    <row r="1298" customFormat="false" ht="15" hidden="false" customHeight="false" outlineLevel="0" collapsed="false">
      <c r="E1298" s="9" t="str">
        <f aca="false">IF($B1298="","",IFERROR(INDEX(書籍!$B$2:$B$2000,MATCH($B1298,書籍!$A$2:$A$2000,0)),"（沒建檔）"))</f>
        <v/>
      </c>
      <c r="F1298" s="9" t="str">
        <f aca="false">IF($A1298="","",IFERROR(INDEX(會員!$B$2:$B$2000,MATCH($A1298,會員!$A$2:$A$2000,0)),"（沒建檔）"))</f>
        <v/>
      </c>
      <c r="G1298" s="10" t="str">
        <f aca="false">IF($B1298="","",IF($D1298="","未還","已還"))</f>
        <v/>
      </c>
    </row>
    <row r="1299" customFormat="false" ht="15" hidden="false" customHeight="false" outlineLevel="0" collapsed="false">
      <c r="E1299" s="9" t="str">
        <f aca="false">IF($B1299="","",IFERROR(INDEX(書籍!$B$2:$B$2000,MATCH($B1299,書籍!$A$2:$A$2000,0)),"（沒建檔）"))</f>
        <v/>
      </c>
      <c r="F1299" s="9" t="str">
        <f aca="false">IF($A1299="","",IFERROR(INDEX(會員!$B$2:$B$2000,MATCH($A1299,會員!$A$2:$A$2000,0)),"（沒建檔）"))</f>
        <v/>
      </c>
      <c r="G1299" s="10" t="str">
        <f aca="false">IF($B1299="","",IF($D1299="","未還","已還"))</f>
        <v/>
      </c>
    </row>
    <row r="1300" customFormat="false" ht="15" hidden="false" customHeight="false" outlineLevel="0" collapsed="false">
      <c r="E1300" s="9" t="str">
        <f aca="false">IF($B1300="","",IFERROR(INDEX(書籍!$B$2:$B$2000,MATCH($B1300,書籍!$A$2:$A$2000,0)),"（沒建檔）"))</f>
        <v/>
      </c>
      <c r="F1300" s="9" t="str">
        <f aca="false">IF($A1300="","",IFERROR(INDEX(會員!$B$2:$B$2000,MATCH($A1300,會員!$A$2:$A$2000,0)),"（沒建檔）"))</f>
        <v/>
      </c>
      <c r="G1300" s="10" t="str">
        <f aca="false">IF($B1300="","",IF($D1300="","未還","已還"))</f>
        <v/>
      </c>
    </row>
    <row r="1301" customFormat="false" ht="15" hidden="false" customHeight="false" outlineLevel="0" collapsed="false">
      <c r="E1301" s="9" t="str">
        <f aca="false">IF($B1301="","",IFERROR(INDEX(書籍!$B$2:$B$2000,MATCH($B1301,書籍!$A$2:$A$2000,0)),"（沒建檔）"))</f>
        <v/>
      </c>
      <c r="F1301" s="9" t="str">
        <f aca="false">IF($A1301="","",IFERROR(INDEX(會員!$B$2:$B$2000,MATCH($A1301,會員!$A$2:$A$2000,0)),"（沒建檔）"))</f>
        <v/>
      </c>
      <c r="G1301" s="10" t="str">
        <f aca="false">IF($B1301="","",IF($D1301="","未還","已還"))</f>
        <v/>
      </c>
    </row>
    <row r="1302" customFormat="false" ht="15" hidden="false" customHeight="false" outlineLevel="0" collapsed="false">
      <c r="E1302" s="9" t="str">
        <f aca="false">IF($B1302="","",IFERROR(INDEX(書籍!$B$2:$B$2000,MATCH($B1302,書籍!$A$2:$A$2000,0)),"（沒建檔）"))</f>
        <v/>
      </c>
      <c r="F1302" s="9" t="str">
        <f aca="false">IF($A1302="","",IFERROR(INDEX(會員!$B$2:$B$2000,MATCH($A1302,會員!$A$2:$A$2000,0)),"（沒建檔）"))</f>
        <v/>
      </c>
      <c r="G1302" s="10" t="str">
        <f aca="false">IF($B1302="","",IF($D1302="","未還","已還"))</f>
        <v/>
      </c>
    </row>
    <row r="1303" customFormat="false" ht="15" hidden="false" customHeight="false" outlineLevel="0" collapsed="false">
      <c r="E1303" s="9" t="str">
        <f aca="false">IF($B1303="","",IFERROR(INDEX(書籍!$B$2:$B$2000,MATCH($B1303,書籍!$A$2:$A$2000,0)),"（沒建檔）"))</f>
        <v/>
      </c>
      <c r="F1303" s="9" t="str">
        <f aca="false">IF($A1303="","",IFERROR(INDEX(會員!$B$2:$B$2000,MATCH($A1303,會員!$A$2:$A$2000,0)),"（沒建檔）"))</f>
        <v/>
      </c>
      <c r="G1303" s="10" t="str">
        <f aca="false">IF($B1303="","",IF($D1303="","未還","已還"))</f>
        <v/>
      </c>
    </row>
    <row r="1304" customFormat="false" ht="15" hidden="false" customHeight="false" outlineLevel="0" collapsed="false">
      <c r="E1304" s="9" t="str">
        <f aca="false">IF($B1304="","",IFERROR(INDEX(書籍!$B$2:$B$2000,MATCH($B1304,書籍!$A$2:$A$2000,0)),"（沒建檔）"))</f>
        <v/>
      </c>
      <c r="F1304" s="9" t="str">
        <f aca="false">IF($A1304="","",IFERROR(INDEX(會員!$B$2:$B$2000,MATCH($A1304,會員!$A$2:$A$2000,0)),"（沒建檔）"))</f>
        <v/>
      </c>
      <c r="G1304" s="10" t="str">
        <f aca="false">IF($B1304="","",IF($D1304="","未還","已還"))</f>
        <v/>
      </c>
    </row>
    <row r="1305" customFormat="false" ht="15" hidden="false" customHeight="false" outlineLevel="0" collapsed="false">
      <c r="E1305" s="9" t="str">
        <f aca="false">IF($B1305="","",IFERROR(INDEX(書籍!$B$2:$B$2000,MATCH($B1305,書籍!$A$2:$A$2000,0)),"（沒建檔）"))</f>
        <v/>
      </c>
      <c r="F1305" s="9" t="str">
        <f aca="false">IF($A1305="","",IFERROR(INDEX(會員!$B$2:$B$2000,MATCH($A1305,會員!$A$2:$A$2000,0)),"（沒建檔）"))</f>
        <v/>
      </c>
      <c r="G1305" s="10" t="str">
        <f aca="false">IF($B1305="","",IF($D1305="","未還","已還"))</f>
        <v/>
      </c>
    </row>
    <row r="1306" customFormat="false" ht="15" hidden="false" customHeight="false" outlineLevel="0" collapsed="false">
      <c r="E1306" s="9" t="str">
        <f aca="false">IF($B1306="","",IFERROR(INDEX(書籍!$B$2:$B$2000,MATCH($B1306,書籍!$A$2:$A$2000,0)),"（沒建檔）"))</f>
        <v/>
      </c>
      <c r="F1306" s="9" t="str">
        <f aca="false">IF($A1306="","",IFERROR(INDEX(會員!$B$2:$B$2000,MATCH($A1306,會員!$A$2:$A$2000,0)),"（沒建檔）"))</f>
        <v/>
      </c>
      <c r="G1306" s="10" t="str">
        <f aca="false">IF($B1306="","",IF($D1306="","未還","已還"))</f>
        <v/>
      </c>
    </row>
    <row r="1307" customFormat="false" ht="15" hidden="false" customHeight="false" outlineLevel="0" collapsed="false">
      <c r="E1307" s="9" t="str">
        <f aca="false">IF($B1307="","",IFERROR(INDEX(書籍!$B$2:$B$2000,MATCH($B1307,書籍!$A$2:$A$2000,0)),"（沒建檔）"))</f>
        <v/>
      </c>
      <c r="F1307" s="9" t="str">
        <f aca="false">IF($A1307="","",IFERROR(INDEX(會員!$B$2:$B$2000,MATCH($A1307,會員!$A$2:$A$2000,0)),"（沒建檔）"))</f>
        <v/>
      </c>
      <c r="G1307" s="10" t="str">
        <f aca="false">IF($B1307="","",IF($D1307="","未還","已還"))</f>
        <v/>
      </c>
    </row>
    <row r="1308" customFormat="false" ht="15" hidden="false" customHeight="false" outlineLevel="0" collapsed="false">
      <c r="E1308" s="9" t="str">
        <f aca="false">IF($B1308="","",IFERROR(INDEX(書籍!$B$2:$B$2000,MATCH($B1308,書籍!$A$2:$A$2000,0)),"（沒建檔）"))</f>
        <v/>
      </c>
      <c r="F1308" s="9" t="str">
        <f aca="false">IF($A1308="","",IFERROR(INDEX(會員!$B$2:$B$2000,MATCH($A1308,會員!$A$2:$A$2000,0)),"（沒建檔）"))</f>
        <v/>
      </c>
      <c r="G1308" s="10" t="str">
        <f aca="false">IF($B1308="","",IF($D1308="","未還","已還"))</f>
        <v/>
      </c>
    </row>
    <row r="1309" customFormat="false" ht="15" hidden="false" customHeight="false" outlineLevel="0" collapsed="false">
      <c r="E1309" s="9" t="str">
        <f aca="false">IF($B1309="","",IFERROR(INDEX(書籍!$B$2:$B$2000,MATCH($B1309,書籍!$A$2:$A$2000,0)),"（沒建檔）"))</f>
        <v/>
      </c>
      <c r="F1309" s="9" t="str">
        <f aca="false">IF($A1309="","",IFERROR(INDEX(會員!$B$2:$B$2000,MATCH($A1309,會員!$A$2:$A$2000,0)),"（沒建檔）"))</f>
        <v/>
      </c>
      <c r="G1309" s="10" t="str">
        <f aca="false">IF($B1309="","",IF($D1309="","未還","已還"))</f>
        <v/>
      </c>
    </row>
    <row r="1310" customFormat="false" ht="15" hidden="false" customHeight="false" outlineLevel="0" collapsed="false">
      <c r="E1310" s="9" t="str">
        <f aca="false">IF($B1310="","",IFERROR(INDEX(書籍!$B$2:$B$2000,MATCH($B1310,書籍!$A$2:$A$2000,0)),"（沒建檔）"))</f>
        <v/>
      </c>
      <c r="F1310" s="9" t="str">
        <f aca="false">IF($A1310="","",IFERROR(INDEX(會員!$B$2:$B$2000,MATCH($A1310,會員!$A$2:$A$2000,0)),"（沒建檔）"))</f>
        <v/>
      </c>
      <c r="G1310" s="10" t="str">
        <f aca="false">IF($B1310="","",IF($D1310="","未還","已還"))</f>
        <v/>
      </c>
    </row>
    <row r="1311" customFormat="false" ht="15" hidden="false" customHeight="false" outlineLevel="0" collapsed="false">
      <c r="E1311" s="9" t="str">
        <f aca="false">IF($B1311="","",IFERROR(INDEX(書籍!$B$2:$B$2000,MATCH($B1311,書籍!$A$2:$A$2000,0)),"（沒建檔）"))</f>
        <v/>
      </c>
      <c r="F1311" s="9" t="str">
        <f aca="false">IF($A1311="","",IFERROR(INDEX(會員!$B$2:$B$2000,MATCH($A1311,會員!$A$2:$A$2000,0)),"（沒建檔）"))</f>
        <v/>
      </c>
      <c r="G1311" s="10" t="str">
        <f aca="false">IF($B1311="","",IF($D1311="","未還","已還"))</f>
        <v/>
      </c>
    </row>
    <row r="1312" customFormat="false" ht="15" hidden="false" customHeight="false" outlineLevel="0" collapsed="false">
      <c r="E1312" s="9" t="str">
        <f aca="false">IF($B1312="","",IFERROR(INDEX(書籍!$B$2:$B$2000,MATCH($B1312,書籍!$A$2:$A$2000,0)),"（沒建檔）"))</f>
        <v/>
      </c>
      <c r="F1312" s="9" t="str">
        <f aca="false">IF($A1312="","",IFERROR(INDEX(會員!$B$2:$B$2000,MATCH($A1312,會員!$A$2:$A$2000,0)),"（沒建檔）"))</f>
        <v/>
      </c>
      <c r="G1312" s="10" t="str">
        <f aca="false">IF($B1312="","",IF($D1312="","未還","已還"))</f>
        <v/>
      </c>
    </row>
    <row r="1313" customFormat="false" ht="15" hidden="false" customHeight="false" outlineLevel="0" collapsed="false">
      <c r="E1313" s="9" t="str">
        <f aca="false">IF($B1313="","",IFERROR(INDEX(書籍!$B$2:$B$2000,MATCH($B1313,書籍!$A$2:$A$2000,0)),"（沒建檔）"))</f>
        <v/>
      </c>
      <c r="F1313" s="9" t="str">
        <f aca="false">IF($A1313="","",IFERROR(INDEX(會員!$B$2:$B$2000,MATCH($A1313,會員!$A$2:$A$2000,0)),"（沒建檔）"))</f>
        <v/>
      </c>
      <c r="G1313" s="10" t="str">
        <f aca="false">IF($B1313="","",IF($D1313="","未還","已還"))</f>
        <v/>
      </c>
    </row>
    <row r="1314" customFormat="false" ht="15" hidden="false" customHeight="false" outlineLevel="0" collapsed="false">
      <c r="E1314" s="9" t="str">
        <f aca="false">IF($B1314="","",IFERROR(INDEX(書籍!$B$2:$B$2000,MATCH($B1314,書籍!$A$2:$A$2000,0)),"（沒建檔）"))</f>
        <v/>
      </c>
      <c r="F1314" s="9" t="str">
        <f aca="false">IF($A1314="","",IFERROR(INDEX(會員!$B$2:$B$2000,MATCH($A1314,會員!$A$2:$A$2000,0)),"（沒建檔）"))</f>
        <v/>
      </c>
      <c r="G1314" s="10" t="str">
        <f aca="false">IF($B1314="","",IF($D1314="","未還","已還"))</f>
        <v/>
      </c>
    </row>
    <row r="1315" customFormat="false" ht="15" hidden="false" customHeight="false" outlineLevel="0" collapsed="false">
      <c r="E1315" s="9" t="str">
        <f aca="false">IF($B1315="","",IFERROR(INDEX(書籍!$B$2:$B$2000,MATCH($B1315,書籍!$A$2:$A$2000,0)),"（沒建檔）"))</f>
        <v/>
      </c>
      <c r="F1315" s="9" t="str">
        <f aca="false">IF($A1315="","",IFERROR(INDEX(會員!$B$2:$B$2000,MATCH($A1315,會員!$A$2:$A$2000,0)),"（沒建檔）"))</f>
        <v/>
      </c>
      <c r="G1315" s="10" t="str">
        <f aca="false">IF($B1315="","",IF($D1315="","未還","已還"))</f>
        <v/>
      </c>
    </row>
    <row r="1316" customFormat="false" ht="15" hidden="false" customHeight="false" outlineLevel="0" collapsed="false">
      <c r="E1316" s="9" t="str">
        <f aca="false">IF($B1316="","",IFERROR(INDEX(書籍!$B$2:$B$2000,MATCH($B1316,書籍!$A$2:$A$2000,0)),"（沒建檔）"))</f>
        <v/>
      </c>
      <c r="F1316" s="9" t="str">
        <f aca="false">IF($A1316="","",IFERROR(INDEX(會員!$B$2:$B$2000,MATCH($A1316,會員!$A$2:$A$2000,0)),"（沒建檔）"))</f>
        <v/>
      </c>
      <c r="G1316" s="10" t="str">
        <f aca="false">IF($B1316="","",IF($D1316="","未還","已還"))</f>
        <v/>
      </c>
    </row>
    <row r="1317" customFormat="false" ht="15" hidden="false" customHeight="false" outlineLevel="0" collapsed="false">
      <c r="E1317" s="9" t="str">
        <f aca="false">IF($B1317="","",IFERROR(INDEX(書籍!$B$2:$B$2000,MATCH($B1317,書籍!$A$2:$A$2000,0)),"（沒建檔）"))</f>
        <v/>
      </c>
      <c r="F1317" s="9" t="str">
        <f aca="false">IF($A1317="","",IFERROR(INDEX(會員!$B$2:$B$2000,MATCH($A1317,會員!$A$2:$A$2000,0)),"（沒建檔）"))</f>
        <v/>
      </c>
      <c r="G1317" s="10" t="str">
        <f aca="false">IF($B1317="","",IF($D1317="","未還","已還"))</f>
        <v/>
      </c>
    </row>
    <row r="1318" customFormat="false" ht="15" hidden="false" customHeight="false" outlineLevel="0" collapsed="false">
      <c r="E1318" s="9" t="str">
        <f aca="false">IF($B1318="","",IFERROR(INDEX(書籍!$B$2:$B$2000,MATCH($B1318,書籍!$A$2:$A$2000,0)),"（沒建檔）"))</f>
        <v/>
      </c>
      <c r="F1318" s="9" t="str">
        <f aca="false">IF($A1318="","",IFERROR(INDEX(會員!$B$2:$B$2000,MATCH($A1318,會員!$A$2:$A$2000,0)),"（沒建檔）"))</f>
        <v/>
      </c>
      <c r="G1318" s="10" t="str">
        <f aca="false">IF($B1318="","",IF($D1318="","未還","已還"))</f>
        <v/>
      </c>
    </row>
    <row r="1319" customFormat="false" ht="15" hidden="false" customHeight="false" outlineLevel="0" collapsed="false">
      <c r="E1319" s="9" t="str">
        <f aca="false">IF($B1319="","",IFERROR(INDEX(書籍!$B$2:$B$2000,MATCH($B1319,書籍!$A$2:$A$2000,0)),"（沒建檔）"))</f>
        <v/>
      </c>
      <c r="F1319" s="9" t="str">
        <f aca="false">IF($A1319="","",IFERROR(INDEX(會員!$B$2:$B$2000,MATCH($A1319,會員!$A$2:$A$2000,0)),"（沒建檔）"))</f>
        <v/>
      </c>
      <c r="G1319" s="10" t="str">
        <f aca="false">IF($B1319="","",IF($D1319="","未還","已還"))</f>
        <v/>
      </c>
    </row>
    <row r="1320" customFormat="false" ht="15" hidden="false" customHeight="false" outlineLevel="0" collapsed="false">
      <c r="E1320" s="9" t="str">
        <f aca="false">IF($B1320="","",IFERROR(INDEX(書籍!$B$2:$B$2000,MATCH($B1320,書籍!$A$2:$A$2000,0)),"（沒建檔）"))</f>
        <v/>
      </c>
      <c r="F1320" s="9" t="str">
        <f aca="false">IF($A1320="","",IFERROR(INDEX(會員!$B$2:$B$2000,MATCH($A1320,會員!$A$2:$A$2000,0)),"（沒建檔）"))</f>
        <v/>
      </c>
      <c r="G1320" s="10" t="str">
        <f aca="false">IF($B1320="","",IF($D1320="","未還","已還"))</f>
        <v/>
      </c>
    </row>
    <row r="1321" customFormat="false" ht="15" hidden="false" customHeight="false" outlineLevel="0" collapsed="false">
      <c r="E1321" s="9" t="str">
        <f aca="false">IF($B1321="","",IFERROR(INDEX(書籍!$B$2:$B$2000,MATCH($B1321,書籍!$A$2:$A$2000,0)),"（沒建檔）"))</f>
        <v/>
      </c>
      <c r="F1321" s="9" t="str">
        <f aca="false">IF($A1321="","",IFERROR(INDEX(會員!$B$2:$B$2000,MATCH($A1321,會員!$A$2:$A$2000,0)),"（沒建檔）"))</f>
        <v/>
      </c>
      <c r="G1321" s="10" t="str">
        <f aca="false">IF($B1321="","",IF($D1321="","未還","已還"))</f>
        <v/>
      </c>
    </row>
    <row r="1322" customFormat="false" ht="15" hidden="false" customHeight="false" outlineLevel="0" collapsed="false">
      <c r="E1322" s="9" t="str">
        <f aca="false">IF($B1322="","",IFERROR(INDEX(書籍!$B$2:$B$2000,MATCH($B1322,書籍!$A$2:$A$2000,0)),"（沒建檔）"))</f>
        <v/>
      </c>
      <c r="F1322" s="9" t="str">
        <f aca="false">IF($A1322="","",IFERROR(INDEX(會員!$B$2:$B$2000,MATCH($A1322,會員!$A$2:$A$2000,0)),"（沒建檔）"))</f>
        <v/>
      </c>
      <c r="G1322" s="10" t="str">
        <f aca="false">IF($B1322="","",IF($D1322="","未還","已還"))</f>
        <v/>
      </c>
    </row>
    <row r="1323" customFormat="false" ht="15" hidden="false" customHeight="false" outlineLevel="0" collapsed="false">
      <c r="E1323" s="9" t="str">
        <f aca="false">IF($B1323="","",IFERROR(INDEX(書籍!$B$2:$B$2000,MATCH($B1323,書籍!$A$2:$A$2000,0)),"（沒建檔）"))</f>
        <v/>
      </c>
      <c r="F1323" s="9" t="str">
        <f aca="false">IF($A1323="","",IFERROR(INDEX(會員!$B$2:$B$2000,MATCH($A1323,會員!$A$2:$A$2000,0)),"（沒建檔）"))</f>
        <v/>
      </c>
      <c r="G1323" s="10" t="str">
        <f aca="false">IF($B1323="","",IF($D1323="","未還","已還"))</f>
        <v/>
      </c>
    </row>
    <row r="1324" customFormat="false" ht="15" hidden="false" customHeight="false" outlineLevel="0" collapsed="false">
      <c r="E1324" s="9" t="str">
        <f aca="false">IF($B1324="","",IFERROR(INDEX(書籍!$B$2:$B$2000,MATCH($B1324,書籍!$A$2:$A$2000,0)),"（沒建檔）"))</f>
        <v/>
      </c>
      <c r="F1324" s="9" t="str">
        <f aca="false">IF($A1324="","",IFERROR(INDEX(會員!$B$2:$B$2000,MATCH($A1324,會員!$A$2:$A$2000,0)),"（沒建檔）"))</f>
        <v/>
      </c>
      <c r="G1324" s="10" t="str">
        <f aca="false">IF($B1324="","",IF($D1324="","未還","已還"))</f>
        <v/>
      </c>
    </row>
    <row r="1325" customFormat="false" ht="15" hidden="false" customHeight="false" outlineLevel="0" collapsed="false">
      <c r="E1325" s="9" t="str">
        <f aca="false">IF($B1325="","",IFERROR(INDEX(書籍!$B$2:$B$2000,MATCH($B1325,書籍!$A$2:$A$2000,0)),"（沒建檔）"))</f>
        <v/>
      </c>
      <c r="F1325" s="9" t="str">
        <f aca="false">IF($A1325="","",IFERROR(INDEX(會員!$B$2:$B$2000,MATCH($A1325,會員!$A$2:$A$2000,0)),"（沒建檔）"))</f>
        <v/>
      </c>
      <c r="G1325" s="10" t="str">
        <f aca="false">IF($B1325="","",IF($D1325="","未還","已還"))</f>
        <v/>
      </c>
    </row>
    <row r="1326" customFormat="false" ht="15" hidden="false" customHeight="false" outlineLevel="0" collapsed="false">
      <c r="E1326" s="9" t="str">
        <f aca="false">IF($B1326="","",IFERROR(INDEX(書籍!$B$2:$B$2000,MATCH($B1326,書籍!$A$2:$A$2000,0)),"（沒建檔）"))</f>
        <v/>
      </c>
      <c r="F1326" s="9" t="str">
        <f aca="false">IF($A1326="","",IFERROR(INDEX(會員!$B$2:$B$2000,MATCH($A1326,會員!$A$2:$A$2000,0)),"（沒建檔）"))</f>
        <v/>
      </c>
      <c r="G1326" s="10" t="str">
        <f aca="false">IF($B1326="","",IF($D1326="","未還","已還"))</f>
        <v/>
      </c>
    </row>
    <row r="1327" customFormat="false" ht="15" hidden="false" customHeight="false" outlineLevel="0" collapsed="false">
      <c r="E1327" s="9" t="str">
        <f aca="false">IF($B1327="","",IFERROR(INDEX(書籍!$B$2:$B$2000,MATCH($B1327,書籍!$A$2:$A$2000,0)),"（沒建檔）"))</f>
        <v/>
      </c>
      <c r="F1327" s="9" t="str">
        <f aca="false">IF($A1327="","",IFERROR(INDEX(會員!$B$2:$B$2000,MATCH($A1327,會員!$A$2:$A$2000,0)),"（沒建檔）"))</f>
        <v/>
      </c>
      <c r="G1327" s="10" t="str">
        <f aca="false">IF($B1327="","",IF($D1327="","未還","已還"))</f>
        <v/>
      </c>
    </row>
    <row r="1328" customFormat="false" ht="15" hidden="false" customHeight="false" outlineLevel="0" collapsed="false">
      <c r="E1328" s="9" t="str">
        <f aca="false">IF($B1328="","",IFERROR(INDEX(書籍!$B$2:$B$2000,MATCH($B1328,書籍!$A$2:$A$2000,0)),"（沒建檔）"))</f>
        <v/>
      </c>
      <c r="F1328" s="9" t="str">
        <f aca="false">IF($A1328="","",IFERROR(INDEX(會員!$B$2:$B$2000,MATCH($A1328,會員!$A$2:$A$2000,0)),"（沒建檔）"))</f>
        <v/>
      </c>
      <c r="G1328" s="10" t="str">
        <f aca="false">IF($B1328="","",IF($D1328="","未還","已還"))</f>
        <v/>
      </c>
    </row>
    <row r="1329" customFormat="false" ht="15" hidden="false" customHeight="false" outlineLevel="0" collapsed="false">
      <c r="E1329" s="9" t="str">
        <f aca="false">IF($B1329="","",IFERROR(INDEX(書籍!$B$2:$B$2000,MATCH($B1329,書籍!$A$2:$A$2000,0)),"（沒建檔）"))</f>
        <v/>
      </c>
      <c r="F1329" s="9" t="str">
        <f aca="false">IF($A1329="","",IFERROR(INDEX(會員!$B$2:$B$2000,MATCH($A1329,會員!$A$2:$A$2000,0)),"（沒建檔）"))</f>
        <v/>
      </c>
      <c r="G1329" s="10" t="str">
        <f aca="false">IF($B1329="","",IF($D1329="","未還","已還"))</f>
        <v/>
      </c>
    </row>
    <row r="1330" customFormat="false" ht="15" hidden="false" customHeight="false" outlineLevel="0" collapsed="false">
      <c r="E1330" s="9" t="str">
        <f aca="false">IF($B1330="","",IFERROR(INDEX(書籍!$B$2:$B$2000,MATCH($B1330,書籍!$A$2:$A$2000,0)),"（沒建檔）"))</f>
        <v/>
      </c>
      <c r="F1330" s="9" t="str">
        <f aca="false">IF($A1330="","",IFERROR(INDEX(會員!$B$2:$B$2000,MATCH($A1330,會員!$A$2:$A$2000,0)),"（沒建檔）"))</f>
        <v/>
      </c>
      <c r="G1330" s="10" t="str">
        <f aca="false">IF($B1330="","",IF($D1330="","未還","已還"))</f>
        <v/>
      </c>
    </row>
    <row r="1331" customFormat="false" ht="15" hidden="false" customHeight="false" outlineLevel="0" collapsed="false">
      <c r="E1331" s="9" t="str">
        <f aca="false">IF($B1331="","",IFERROR(INDEX(書籍!$B$2:$B$2000,MATCH($B1331,書籍!$A$2:$A$2000,0)),"（沒建檔）"))</f>
        <v/>
      </c>
      <c r="F1331" s="9" t="str">
        <f aca="false">IF($A1331="","",IFERROR(INDEX(會員!$B$2:$B$2000,MATCH($A1331,會員!$A$2:$A$2000,0)),"（沒建檔）"))</f>
        <v/>
      </c>
      <c r="G1331" s="10" t="str">
        <f aca="false">IF($B1331="","",IF($D1331="","未還","已還"))</f>
        <v/>
      </c>
    </row>
    <row r="1332" customFormat="false" ht="15" hidden="false" customHeight="false" outlineLevel="0" collapsed="false">
      <c r="E1332" s="9" t="str">
        <f aca="false">IF($B1332="","",IFERROR(INDEX(書籍!$B$2:$B$2000,MATCH($B1332,書籍!$A$2:$A$2000,0)),"（沒建檔）"))</f>
        <v/>
      </c>
      <c r="F1332" s="9" t="str">
        <f aca="false">IF($A1332="","",IFERROR(INDEX(會員!$B$2:$B$2000,MATCH($A1332,會員!$A$2:$A$2000,0)),"（沒建檔）"))</f>
        <v/>
      </c>
      <c r="G1332" s="10" t="str">
        <f aca="false">IF($B1332="","",IF($D1332="","未還","已還"))</f>
        <v/>
      </c>
    </row>
    <row r="1333" customFormat="false" ht="15" hidden="false" customHeight="false" outlineLevel="0" collapsed="false">
      <c r="E1333" s="9" t="str">
        <f aca="false">IF($B1333="","",IFERROR(INDEX(書籍!$B$2:$B$2000,MATCH($B1333,書籍!$A$2:$A$2000,0)),"（沒建檔）"))</f>
        <v/>
      </c>
      <c r="F1333" s="9" t="str">
        <f aca="false">IF($A1333="","",IFERROR(INDEX(會員!$B$2:$B$2000,MATCH($A1333,會員!$A$2:$A$2000,0)),"（沒建檔）"))</f>
        <v/>
      </c>
      <c r="G1333" s="10" t="str">
        <f aca="false">IF($B1333="","",IF($D1333="","未還","已還"))</f>
        <v/>
      </c>
    </row>
    <row r="1334" customFormat="false" ht="15" hidden="false" customHeight="false" outlineLevel="0" collapsed="false">
      <c r="E1334" s="9" t="str">
        <f aca="false">IF($B1334="","",IFERROR(INDEX(書籍!$B$2:$B$2000,MATCH($B1334,書籍!$A$2:$A$2000,0)),"（沒建檔）"))</f>
        <v/>
      </c>
      <c r="F1334" s="9" t="str">
        <f aca="false">IF($A1334="","",IFERROR(INDEX(會員!$B$2:$B$2000,MATCH($A1334,會員!$A$2:$A$2000,0)),"（沒建檔）"))</f>
        <v/>
      </c>
      <c r="G1334" s="10" t="str">
        <f aca="false">IF($B1334="","",IF($D1334="","未還","已還"))</f>
        <v/>
      </c>
    </row>
    <row r="1335" customFormat="false" ht="15" hidden="false" customHeight="false" outlineLevel="0" collapsed="false">
      <c r="E1335" s="9" t="str">
        <f aca="false">IF($B1335="","",IFERROR(INDEX(書籍!$B$2:$B$2000,MATCH($B1335,書籍!$A$2:$A$2000,0)),"（沒建檔）"))</f>
        <v/>
      </c>
      <c r="F1335" s="9" t="str">
        <f aca="false">IF($A1335="","",IFERROR(INDEX(會員!$B$2:$B$2000,MATCH($A1335,會員!$A$2:$A$2000,0)),"（沒建檔）"))</f>
        <v/>
      </c>
      <c r="G1335" s="10" t="str">
        <f aca="false">IF($B1335="","",IF($D1335="","未還","已還"))</f>
        <v/>
      </c>
    </row>
    <row r="1336" customFormat="false" ht="15" hidden="false" customHeight="false" outlineLevel="0" collapsed="false">
      <c r="E1336" s="9" t="str">
        <f aca="false">IF($B1336="","",IFERROR(INDEX(書籍!$B$2:$B$2000,MATCH($B1336,書籍!$A$2:$A$2000,0)),"（沒建檔）"))</f>
        <v/>
      </c>
      <c r="F1336" s="9" t="str">
        <f aca="false">IF($A1336="","",IFERROR(INDEX(會員!$B$2:$B$2000,MATCH($A1336,會員!$A$2:$A$2000,0)),"（沒建檔）"))</f>
        <v/>
      </c>
      <c r="G1336" s="10" t="str">
        <f aca="false">IF($B1336="","",IF($D1336="","未還","已還"))</f>
        <v/>
      </c>
    </row>
    <row r="1337" customFormat="false" ht="15" hidden="false" customHeight="false" outlineLevel="0" collapsed="false">
      <c r="E1337" s="9" t="str">
        <f aca="false">IF($B1337="","",IFERROR(INDEX(書籍!$B$2:$B$2000,MATCH($B1337,書籍!$A$2:$A$2000,0)),"（沒建檔）"))</f>
        <v/>
      </c>
      <c r="F1337" s="9" t="str">
        <f aca="false">IF($A1337="","",IFERROR(INDEX(會員!$B$2:$B$2000,MATCH($A1337,會員!$A$2:$A$2000,0)),"（沒建檔）"))</f>
        <v/>
      </c>
      <c r="G1337" s="10" t="str">
        <f aca="false">IF($B1337="","",IF($D1337="","未還","已還"))</f>
        <v/>
      </c>
    </row>
    <row r="1338" customFormat="false" ht="15" hidden="false" customHeight="false" outlineLevel="0" collapsed="false">
      <c r="E1338" s="9" t="str">
        <f aca="false">IF($B1338="","",IFERROR(INDEX(書籍!$B$2:$B$2000,MATCH($B1338,書籍!$A$2:$A$2000,0)),"（沒建檔）"))</f>
        <v/>
      </c>
      <c r="F1338" s="9" t="str">
        <f aca="false">IF($A1338="","",IFERROR(INDEX(會員!$B$2:$B$2000,MATCH($A1338,會員!$A$2:$A$2000,0)),"（沒建檔）"))</f>
        <v/>
      </c>
      <c r="G1338" s="10" t="str">
        <f aca="false">IF($B1338="","",IF($D1338="","未還","已還"))</f>
        <v/>
      </c>
    </row>
    <row r="1339" customFormat="false" ht="15" hidden="false" customHeight="false" outlineLevel="0" collapsed="false">
      <c r="E1339" s="9" t="str">
        <f aca="false">IF($B1339="","",IFERROR(INDEX(書籍!$B$2:$B$2000,MATCH($B1339,書籍!$A$2:$A$2000,0)),"（沒建檔）"))</f>
        <v/>
      </c>
      <c r="F1339" s="9" t="str">
        <f aca="false">IF($A1339="","",IFERROR(INDEX(會員!$B$2:$B$2000,MATCH($A1339,會員!$A$2:$A$2000,0)),"（沒建檔）"))</f>
        <v/>
      </c>
      <c r="G1339" s="10" t="str">
        <f aca="false">IF($B1339="","",IF($D1339="","未還","已還"))</f>
        <v/>
      </c>
    </row>
    <row r="1340" customFormat="false" ht="15" hidden="false" customHeight="false" outlineLevel="0" collapsed="false">
      <c r="E1340" s="9" t="str">
        <f aca="false">IF($B1340="","",IFERROR(INDEX(書籍!$B$2:$B$2000,MATCH($B1340,書籍!$A$2:$A$2000,0)),"（沒建檔）"))</f>
        <v/>
      </c>
      <c r="F1340" s="9" t="str">
        <f aca="false">IF($A1340="","",IFERROR(INDEX(會員!$B$2:$B$2000,MATCH($A1340,會員!$A$2:$A$2000,0)),"（沒建檔）"))</f>
        <v/>
      </c>
      <c r="G1340" s="10" t="str">
        <f aca="false">IF($B1340="","",IF($D1340="","未還","已還"))</f>
        <v/>
      </c>
    </row>
    <row r="1341" customFormat="false" ht="15" hidden="false" customHeight="false" outlineLevel="0" collapsed="false">
      <c r="E1341" s="9" t="str">
        <f aca="false">IF($B1341="","",IFERROR(INDEX(書籍!$B$2:$B$2000,MATCH($B1341,書籍!$A$2:$A$2000,0)),"（沒建檔）"))</f>
        <v/>
      </c>
      <c r="F1341" s="9" t="str">
        <f aca="false">IF($A1341="","",IFERROR(INDEX(會員!$B$2:$B$2000,MATCH($A1341,會員!$A$2:$A$2000,0)),"（沒建檔）"))</f>
        <v/>
      </c>
      <c r="G1341" s="10" t="str">
        <f aca="false">IF($B1341="","",IF($D1341="","未還","已還"))</f>
        <v/>
      </c>
    </row>
    <row r="1342" customFormat="false" ht="15" hidden="false" customHeight="false" outlineLevel="0" collapsed="false">
      <c r="E1342" s="9" t="str">
        <f aca="false">IF($B1342="","",IFERROR(INDEX(書籍!$B$2:$B$2000,MATCH($B1342,書籍!$A$2:$A$2000,0)),"（沒建檔）"))</f>
        <v/>
      </c>
      <c r="F1342" s="9" t="str">
        <f aca="false">IF($A1342="","",IFERROR(INDEX(會員!$B$2:$B$2000,MATCH($A1342,會員!$A$2:$A$2000,0)),"（沒建檔）"))</f>
        <v/>
      </c>
      <c r="G1342" s="10" t="str">
        <f aca="false">IF($B1342="","",IF($D1342="","未還","已還"))</f>
        <v/>
      </c>
    </row>
    <row r="1343" customFormat="false" ht="15" hidden="false" customHeight="false" outlineLevel="0" collapsed="false">
      <c r="E1343" s="9" t="str">
        <f aca="false">IF($B1343="","",IFERROR(INDEX(書籍!$B$2:$B$2000,MATCH($B1343,書籍!$A$2:$A$2000,0)),"（沒建檔）"))</f>
        <v/>
      </c>
      <c r="F1343" s="9" t="str">
        <f aca="false">IF($A1343="","",IFERROR(INDEX(會員!$B$2:$B$2000,MATCH($A1343,會員!$A$2:$A$2000,0)),"（沒建檔）"))</f>
        <v/>
      </c>
      <c r="G1343" s="10" t="str">
        <f aca="false">IF($B1343="","",IF($D1343="","未還","已還"))</f>
        <v/>
      </c>
    </row>
    <row r="1344" customFormat="false" ht="15" hidden="false" customHeight="false" outlineLevel="0" collapsed="false">
      <c r="E1344" s="9" t="str">
        <f aca="false">IF($B1344="","",IFERROR(INDEX(書籍!$B$2:$B$2000,MATCH($B1344,書籍!$A$2:$A$2000,0)),"（沒建檔）"))</f>
        <v/>
      </c>
      <c r="F1344" s="9" t="str">
        <f aca="false">IF($A1344="","",IFERROR(INDEX(會員!$B$2:$B$2000,MATCH($A1344,會員!$A$2:$A$2000,0)),"（沒建檔）"))</f>
        <v/>
      </c>
      <c r="G1344" s="10" t="str">
        <f aca="false">IF($B1344="","",IF($D1344="","未還","已還"))</f>
        <v/>
      </c>
    </row>
    <row r="1345" customFormat="false" ht="15" hidden="false" customHeight="false" outlineLevel="0" collapsed="false">
      <c r="E1345" s="9" t="str">
        <f aca="false">IF($B1345="","",IFERROR(INDEX(書籍!$B$2:$B$2000,MATCH($B1345,書籍!$A$2:$A$2000,0)),"（沒建檔）"))</f>
        <v/>
      </c>
      <c r="F1345" s="9" t="str">
        <f aca="false">IF($A1345="","",IFERROR(INDEX(會員!$B$2:$B$2000,MATCH($A1345,會員!$A$2:$A$2000,0)),"（沒建檔）"))</f>
        <v/>
      </c>
      <c r="G1345" s="10" t="str">
        <f aca="false">IF($B1345="","",IF($D1345="","未還","已還"))</f>
        <v/>
      </c>
    </row>
    <row r="1346" customFormat="false" ht="15" hidden="false" customHeight="false" outlineLevel="0" collapsed="false">
      <c r="E1346" s="9" t="str">
        <f aca="false">IF($B1346="","",IFERROR(INDEX(書籍!$B$2:$B$2000,MATCH($B1346,書籍!$A$2:$A$2000,0)),"（沒建檔）"))</f>
        <v/>
      </c>
      <c r="F1346" s="9" t="str">
        <f aca="false">IF($A1346="","",IFERROR(INDEX(會員!$B$2:$B$2000,MATCH($A1346,會員!$A$2:$A$2000,0)),"（沒建檔）"))</f>
        <v/>
      </c>
      <c r="G1346" s="10" t="str">
        <f aca="false">IF($B1346="","",IF($D1346="","未還","已還"))</f>
        <v/>
      </c>
    </row>
    <row r="1347" customFormat="false" ht="15" hidden="false" customHeight="false" outlineLevel="0" collapsed="false">
      <c r="E1347" s="9" t="str">
        <f aca="false">IF($B1347="","",IFERROR(INDEX(書籍!$B$2:$B$2000,MATCH($B1347,書籍!$A$2:$A$2000,0)),"（沒建檔）"))</f>
        <v/>
      </c>
      <c r="F1347" s="9" t="str">
        <f aca="false">IF($A1347="","",IFERROR(INDEX(會員!$B$2:$B$2000,MATCH($A1347,會員!$A$2:$A$2000,0)),"（沒建檔）"))</f>
        <v/>
      </c>
      <c r="G1347" s="10" t="str">
        <f aca="false">IF($B1347="","",IF($D1347="","未還","已還"))</f>
        <v/>
      </c>
    </row>
    <row r="1348" customFormat="false" ht="15" hidden="false" customHeight="false" outlineLevel="0" collapsed="false">
      <c r="E1348" s="9" t="str">
        <f aca="false">IF($B1348="","",IFERROR(INDEX(書籍!$B$2:$B$2000,MATCH($B1348,書籍!$A$2:$A$2000,0)),"（沒建檔）"))</f>
        <v/>
      </c>
      <c r="F1348" s="9" t="str">
        <f aca="false">IF($A1348="","",IFERROR(INDEX(會員!$B$2:$B$2000,MATCH($A1348,會員!$A$2:$A$2000,0)),"（沒建檔）"))</f>
        <v/>
      </c>
      <c r="G1348" s="10" t="str">
        <f aca="false">IF($B1348="","",IF($D1348="","未還","已還"))</f>
        <v/>
      </c>
    </row>
    <row r="1349" customFormat="false" ht="15" hidden="false" customHeight="false" outlineLevel="0" collapsed="false">
      <c r="E1349" s="9" t="str">
        <f aca="false">IF($B1349="","",IFERROR(INDEX(書籍!$B$2:$B$2000,MATCH($B1349,書籍!$A$2:$A$2000,0)),"（沒建檔）"))</f>
        <v/>
      </c>
      <c r="F1349" s="9" t="str">
        <f aca="false">IF($A1349="","",IFERROR(INDEX(會員!$B$2:$B$2000,MATCH($A1349,會員!$A$2:$A$2000,0)),"（沒建檔）"))</f>
        <v/>
      </c>
      <c r="G1349" s="10" t="str">
        <f aca="false">IF($B1349="","",IF($D1349="","未還","已還"))</f>
        <v/>
      </c>
    </row>
    <row r="1350" customFormat="false" ht="15" hidden="false" customHeight="false" outlineLevel="0" collapsed="false">
      <c r="E1350" s="9" t="str">
        <f aca="false">IF($B1350="","",IFERROR(INDEX(書籍!$B$2:$B$2000,MATCH($B1350,書籍!$A$2:$A$2000,0)),"（沒建檔）"))</f>
        <v/>
      </c>
      <c r="F1350" s="9" t="str">
        <f aca="false">IF($A1350="","",IFERROR(INDEX(會員!$B$2:$B$2000,MATCH($A1350,會員!$A$2:$A$2000,0)),"（沒建檔）"))</f>
        <v/>
      </c>
      <c r="G1350" s="10" t="str">
        <f aca="false">IF($B1350="","",IF($D1350="","未還","已還"))</f>
        <v/>
      </c>
    </row>
    <row r="1351" customFormat="false" ht="15" hidden="false" customHeight="false" outlineLevel="0" collapsed="false">
      <c r="E1351" s="9" t="str">
        <f aca="false">IF($B1351="","",IFERROR(INDEX(書籍!$B$2:$B$2000,MATCH($B1351,書籍!$A$2:$A$2000,0)),"（沒建檔）"))</f>
        <v/>
      </c>
      <c r="F1351" s="9" t="str">
        <f aca="false">IF($A1351="","",IFERROR(INDEX(會員!$B$2:$B$2000,MATCH($A1351,會員!$A$2:$A$2000,0)),"（沒建檔）"))</f>
        <v/>
      </c>
      <c r="G1351" s="10" t="str">
        <f aca="false">IF($B1351="","",IF($D1351="","未還","已還"))</f>
        <v/>
      </c>
    </row>
    <row r="1352" customFormat="false" ht="15" hidden="false" customHeight="false" outlineLevel="0" collapsed="false">
      <c r="E1352" s="9" t="str">
        <f aca="false">IF($B1352="","",IFERROR(INDEX(書籍!$B$2:$B$2000,MATCH($B1352,書籍!$A$2:$A$2000,0)),"（沒建檔）"))</f>
        <v/>
      </c>
      <c r="F1352" s="9" t="str">
        <f aca="false">IF($A1352="","",IFERROR(INDEX(會員!$B$2:$B$2000,MATCH($A1352,會員!$A$2:$A$2000,0)),"（沒建檔）"))</f>
        <v/>
      </c>
      <c r="G1352" s="10" t="str">
        <f aca="false">IF($B1352="","",IF($D1352="","未還","已還"))</f>
        <v/>
      </c>
    </row>
    <row r="1353" customFormat="false" ht="15" hidden="false" customHeight="false" outlineLevel="0" collapsed="false">
      <c r="E1353" s="9" t="str">
        <f aca="false">IF($B1353="","",IFERROR(INDEX(書籍!$B$2:$B$2000,MATCH($B1353,書籍!$A$2:$A$2000,0)),"（沒建檔）"))</f>
        <v/>
      </c>
      <c r="F1353" s="9" t="str">
        <f aca="false">IF($A1353="","",IFERROR(INDEX(會員!$B$2:$B$2000,MATCH($A1353,會員!$A$2:$A$2000,0)),"（沒建檔）"))</f>
        <v/>
      </c>
      <c r="G1353" s="10" t="str">
        <f aca="false">IF($B1353="","",IF($D1353="","未還","已還"))</f>
        <v/>
      </c>
    </row>
    <row r="1354" customFormat="false" ht="15" hidden="false" customHeight="false" outlineLevel="0" collapsed="false">
      <c r="E1354" s="9" t="str">
        <f aca="false">IF($B1354="","",IFERROR(INDEX(書籍!$B$2:$B$2000,MATCH($B1354,書籍!$A$2:$A$2000,0)),"（沒建檔）"))</f>
        <v/>
      </c>
      <c r="F1354" s="9" t="str">
        <f aca="false">IF($A1354="","",IFERROR(INDEX(會員!$B$2:$B$2000,MATCH($A1354,會員!$A$2:$A$2000,0)),"（沒建檔）"))</f>
        <v/>
      </c>
      <c r="G1354" s="10" t="str">
        <f aca="false">IF($B1354="","",IF($D1354="","未還","已還"))</f>
        <v/>
      </c>
    </row>
    <row r="1355" customFormat="false" ht="15" hidden="false" customHeight="false" outlineLevel="0" collapsed="false">
      <c r="E1355" s="9" t="str">
        <f aca="false">IF($B1355="","",IFERROR(INDEX(書籍!$B$2:$B$2000,MATCH($B1355,書籍!$A$2:$A$2000,0)),"（沒建檔）"))</f>
        <v/>
      </c>
      <c r="F1355" s="9" t="str">
        <f aca="false">IF($A1355="","",IFERROR(INDEX(會員!$B$2:$B$2000,MATCH($A1355,會員!$A$2:$A$2000,0)),"（沒建檔）"))</f>
        <v/>
      </c>
      <c r="G1355" s="10" t="str">
        <f aca="false">IF($B1355="","",IF($D1355="","未還","已還"))</f>
        <v/>
      </c>
    </row>
    <row r="1356" customFormat="false" ht="15" hidden="false" customHeight="false" outlineLevel="0" collapsed="false">
      <c r="E1356" s="9" t="str">
        <f aca="false">IF($B1356="","",IFERROR(INDEX(書籍!$B$2:$B$2000,MATCH($B1356,書籍!$A$2:$A$2000,0)),"（沒建檔）"))</f>
        <v/>
      </c>
      <c r="F1356" s="9" t="str">
        <f aca="false">IF($A1356="","",IFERROR(INDEX(會員!$B$2:$B$2000,MATCH($A1356,會員!$A$2:$A$2000,0)),"（沒建檔）"))</f>
        <v/>
      </c>
      <c r="G1356" s="10" t="str">
        <f aca="false">IF($B1356="","",IF($D1356="","未還","已還"))</f>
        <v/>
      </c>
    </row>
    <row r="1357" customFormat="false" ht="15" hidden="false" customHeight="false" outlineLevel="0" collapsed="false">
      <c r="E1357" s="9" t="str">
        <f aca="false">IF($B1357="","",IFERROR(INDEX(書籍!$B$2:$B$2000,MATCH($B1357,書籍!$A$2:$A$2000,0)),"（沒建檔）"))</f>
        <v/>
      </c>
      <c r="F1357" s="9" t="str">
        <f aca="false">IF($A1357="","",IFERROR(INDEX(會員!$B$2:$B$2000,MATCH($A1357,會員!$A$2:$A$2000,0)),"（沒建檔）"))</f>
        <v/>
      </c>
      <c r="G1357" s="10" t="str">
        <f aca="false">IF($B1357="","",IF($D1357="","未還","已還"))</f>
        <v/>
      </c>
    </row>
    <row r="1358" customFormat="false" ht="15" hidden="false" customHeight="false" outlineLevel="0" collapsed="false">
      <c r="E1358" s="9" t="str">
        <f aca="false">IF($B1358="","",IFERROR(INDEX(書籍!$B$2:$B$2000,MATCH($B1358,書籍!$A$2:$A$2000,0)),"（沒建檔）"))</f>
        <v/>
      </c>
      <c r="F1358" s="9" t="str">
        <f aca="false">IF($A1358="","",IFERROR(INDEX(會員!$B$2:$B$2000,MATCH($A1358,會員!$A$2:$A$2000,0)),"（沒建檔）"))</f>
        <v/>
      </c>
      <c r="G1358" s="10" t="str">
        <f aca="false">IF($B1358="","",IF($D1358="","未還","已還"))</f>
        <v/>
      </c>
    </row>
    <row r="1359" customFormat="false" ht="15" hidden="false" customHeight="false" outlineLevel="0" collapsed="false">
      <c r="E1359" s="9" t="str">
        <f aca="false">IF($B1359="","",IFERROR(INDEX(書籍!$B$2:$B$2000,MATCH($B1359,書籍!$A$2:$A$2000,0)),"（沒建檔）"))</f>
        <v/>
      </c>
      <c r="F1359" s="9" t="str">
        <f aca="false">IF($A1359="","",IFERROR(INDEX(會員!$B$2:$B$2000,MATCH($A1359,會員!$A$2:$A$2000,0)),"（沒建檔）"))</f>
        <v/>
      </c>
      <c r="G1359" s="10" t="str">
        <f aca="false">IF($B1359="","",IF($D1359="","未還","已還"))</f>
        <v/>
      </c>
    </row>
    <row r="1360" customFormat="false" ht="15" hidden="false" customHeight="false" outlineLevel="0" collapsed="false">
      <c r="E1360" s="9" t="str">
        <f aca="false">IF($B1360="","",IFERROR(INDEX(書籍!$B$2:$B$2000,MATCH($B1360,書籍!$A$2:$A$2000,0)),"（沒建檔）"))</f>
        <v/>
      </c>
      <c r="F1360" s="9" t="str">
        <f aca="false">IF($A1360="","",IFERROR(INDEX(會員!$B$2:$B$2000,MATCH($A1360,會員!$A$2:$A$2000,0)),"（沒建檔）"))</f>
        <v/>
      </c>
      <c r="G1360" s="10" t="str">
        <f aca="false">IF($B1360="","",IF($D1360="","未還","已還"))</f>
        <v/>
      </c>
    </row>
    <row r="1361" customFormat="false" ht="15" hidden="false" customHeight="false" outlineLevel="0" collapsed="false">
      <c r="E1361" s="9" t="str">
        <f aca="false">IF($B1361="","",IFERROR(INDEX(書籍!$B$2:$B$2000,MATCH($B1361,書籍!$A$2:$A$2000,0)),"（沒建檔）"))</f>
        <v/>
      </c>
      <c r="F1361" s="9" t="str">
        <f aca="false">IF($A1361="","",IFERROR(INDEX(會員!$B$2:$B$2000,MATCH($A1361,會員!$A$2:$A$2000,0)),"（沒建檔）"))</f>
        <v/>
      </c>
      <c r="G1361" s="10" t="str">
        <f aca="false">IF($B1361="","",IF($D1361="","未還","已還"))</f>
        <v/>
      </c>
    </row>
    <row r="1362" customFormat="false" ht="15" hidden="false" customHeight="false" outlineLevel="0" collapsed="false">
      <c r="E1362" s="9" t="str">
        <f aca="false">IF($B1362="","",IFERROR(INDEX(書籍!$B$2:$B$2000,MATCH($B1362,書籍!$A$2:$A$2000,0)),"（沒建檔）"))</f>
        <v/>
      </c>
      <c r="F1362" s="9" t="str">
        <f aca="false">IF($A1362="","",IFERROR(INDEX(會員!$B$2:$B$2000,MATCH($A1362,會員!$A$2:$A$2000,0)),"（沒建檔）"))</f>
        <v/>
      </c>
      <c r="G1362" s="10" t="str">
        <f aca="false">IF($B1362="","",IF($D1362="","未還","已還"))</f>
        <v/>
      </c>
    </row>
    <row r="1363" customFormat="false" ht="15" hidden="false" customHeight="false" outlineLevel="0" collapsed="false">
      <c r="E1363" s="9" t="str">
        <f aca="false">IF($B1363="","",IFERROR(INDEX(書籍!$B$2:$B$2000,MATCH($B1363,書籍!$A$2:$A$2000,0)),"（沒建檔）"))</f>
        <v/>
      </c>
      <c r="F1363" s="9" t="str">
        <f aca="false">IF($A1363="","",IFERROR(INDEX(會員!$B$2:$B$2000,MATCH($A1363,會員!$A$2:$A$2000,0)),"（沒建檔）"))</f>
        <v/>
      </c>
      <c r="G1363" s="10" t="str">
        <f aca="false">IF($B1363="","",IF($D1363="","未還","已還"))</f>
        <v/>
      </c>
    </row>
    <row r="1364" customFormat="false" ht="15" hidden="false" customHeight="false" outlineLevel="0" collapsed="false">
      <c r="E1364" s="9" t="str">
        <f aca="false">IF($B1364="","",IFERROR(INDEX(書籍!$B$2:$B$2000,MATCH($B1364,書籍!$A$2:$A$2000,0)),"（沒建檔）"))</f>
        <v/>
      </c>
      <c r="F1364" s="9" t="str">
        <f aca="false">IF($A1364="","",IFERROR(INDEX(會員!$B$2:$B$2000,MATCH($A1364,會員!$A$2:$A$2000,0)),"（沒建檔）"))</f>
        <v/>
      </c>
      <c r="G1364" s="10" t="str">
        <f aca="false">IF($B1364="","",IF($D1364="","未還","已還"))</f>
        <v/>
      </c>
    </row>
    <row r="1365" customFormat="false" ht="15" hidden="false" customHeight="false" outlineLevel="0" collapsed="false">
      <c r="E1365" s="9" t="str">
        <f aca="false">IF($B1365="","",IFERROR(INDEX(書籍!$B$2:$B$2000,MATCH($B1365,書籍!$A$2:$A$2000,0)),"（沒建檔）"))</f>
        <v/>
      </c>
      <c r="F1365" s="9" t="str">
        <f aca="false">IF($A1365="","",IFERROR(INDEX(會員!$B$2:$B$2000,MATCH($A1365,會員!$A$2:$A$2000,0)),"（沒建檔）"))</f>
        <v/>
      </c>
      <c r="G1365" s="10" t="str">
        <f aca="false">IF($B1365="","",IF($D1365="","未還","已還"))</f>
        <v/>
      </c>
    </row>
    <row r="1366" customFormat="false" ht="15" hidden="false" customHeight="false" outlineLevel="0" collapsed="false">
      <c r="E1366" s="9" t="str">
        <f aca="false">IF($B1366="","",IFERROR(INDEX(書籍!$B$2:$B$2000,MATCH($B1366,書籍!$A$2:$A$2000,0)),"（沒建檔）"))</f>
        <v/>
      </c>
      <c r="F1366" s="9" t="str">
        <f aca="false">IF($A1366="","",IFERROR(INDEX(會員!$B$2:$B$2000,MATCH($A1366,會員!$A$2:$A$2000,0)),"（沒建檔）"))</f>
        <v/>
      </c>
      <c r="G1366" s="10" t="str">
        <f aca="false">IF($B1366="","",IF($D1366="","未還","已還"))</f>
        <v/>
      </c>
    </row>
    <row r="1367" customFormat="false" ht="15" hidden="false" customHeight="false" outlineLevel="0" collapsed="false">
      <c r="E1367" s="9" t="str">
        <f aca="false">IF($B1367="","",IFERROR(INDEX(書籍!$B$2:$B$2000,MATCH($B1367,書籍!$A$2:$A$2000,0)),"（沒建檔）"))</f>
        <v/>
      </c>
      <c r="F1367" s="9" t="str">
        <f aca="false">IF($A1367="","",IFERROR(INDEX(會員!$B$2:$B$2000,MATCH($A1367,會員!$A$2:$A$2000,0)),"（沒建檔）"))</f>
        <v/>
      </c>
      <c r="G1367" s="10" t="str">
        <f aca="false">IF($B1367="","",IF($D1367="","未還","已還"))</f>
        <v/>
      </c>
    </row>
    <row r="1368" customFormat="false" ht="15" hidden="false" customHeight="false" outlineLevel="0" collapsed="false">
      <c r="E1368" s="9" t="str">
        <f aca="false">IF($B1368="","",IFERROR(INDEX(書籍!$B$2:$B$2000,MATCH($B1368,書籍!$A$2:$A$2000,0)),"（沒建檔）"))</f>
        <v/>
      </c>
      <c r="F1368" s="9" t="str">
        <f aca="false">IF($A1368="","",IFERROR(INDEX(會員!$B$2:$B$2000,MATCH($A1368,會員!$A$2:$A$2000,0)),"（沒建檔）"))</f>
        <v/>
      </c>
      <c r="G1368" s="10" t="str">
        <f aca="false">IF($B1368="","",IF($D1368="","未還","已還"))</f>
        <v/>
      </c>
    </row>
    <row r="1369" customFormat="false" ht="15" hidden="false" customHeight="false" outlineLevel="0" collapsed="false">
      <c r="E1369" s="9" t="str">
        <f aca="false">IF($B1369="","",IFERROR(INDEX(書籍!$B$2:$B$2000,MATCH($B1369,書籍!$A$2:$A$2000,0)),"（沒建檔）"))</f>
        <v/>
      </c>
      <c r="F1369" s="9" t="str">
        <f aca="false">IF($A1369="","",IFERROR(INDEX(會員!$B$2:$B$2000,MATCH($A1369,會員!$A$2:$A$2000,0)),"（沒建檔）"))</f>
        <v/>
      </c>
      <c r="G1369" s="10" t="str">
        <f aca="false">IF($B1369="","",IF($D1369="","未還","已還"))</f>
        <v/>
      </c>
    </row>
    <row r="1370" customFormat="false" ht="15" hidden="false" customHeight="false" outlineLevel="0" collapsed="false">
      <c r="E1370" s="9" t="str">
        <f aca="false">IF($B1370="","",IFERROR(INDEX(書籍!$B$2:$B$2000,MATCH($B1370,書籍!$A$2:$A$2000,0)),"（沒建檔）"))</f>
        <v/>
      </c>
      <c r="F1370" s="9" t="str">
        <f aca="false">IF($A1370="","",IFERROR(INDEX(會員!$B$2:$B$2000,MATCH($A1370,會員!$A$2:$A$2000,0)),"（沒建檔）"))</f>
        <v/>
      </c>
      <c r="G1370" s="10" t="str">
        <f aca="false">IF($B1370="","",IF($D1370="","未還","已還"))</f>
        <v/>
      </c>
    </row>
    <row r="1371" customFormat="false" ht="15" hidden="false" customHeight="false" outlineLevel="0" collapsed="false">
      <c r="E1371" s="9" t="str">
        <f aca="false">IF($B1371="","",IFERROR(INDEX(書籍!$B$2:$B$2000,MATCH($B1371,書籍!$A$2:$A$2000,0)),"（沒建檔）"))</f>
        <v/>
      </c>
      <c r="F1371" s="9" t="str">
        <f aca="false">IF($A1371="","",IFERROR(INDEX(會員!$B$2:$B$2000,MATCH($A1371,會員!$A$2:$A$2000,0)),"（沒建檔）"))</f>
        <v/>
      </c>
      <c r="G1371" s="10" t="str">
        <f aca="false">IF($B1371="","",IF($D1371="","未還","已還"))</f>
        <v/>
      </c>
    </row>
    <row r="1372" customFormat="false" ht="15" hidden="false" customHeight="false" outlineLevel="0" collapsed="false">
      <c r="E1372" s="9" t="str">
        <f aca="false">IF($B1372="","",IFERROR(INDEX(書籍!$B$2:$B$2000,MATCH($B1372,書籍!$A$2:$A$2000,0)),"（沒建檔）"))</f>
        <v/>
      </c>
      <c r="F1372" s="9" t="str">
        <f aca="false">IF($A1372="","",IFERROR(INDEX(會員!$B$2:$B$2000,MATCH($A1372,會員!$A$2:$A$2000,0)),"（沒建檔）"))</f>
        <v/>
      </c>
      <c r="G1372" s="10" t="str">
        <f aca="false">IF($B1372="","",IF($D1372="","未還","已還"))</f>
        <v/>
      </c>
    </row>
    <row r="1373" customFormat="false" ht="15" hidden="false" customHeight="false" outlineLevel="0" collapsed="false">
      <c r="E1373" s="9" t="str">
        <f aca="false">IF($B1373="","",IFERROR(INDEX(書籍!$B$2:$B$2000,MATCH($B1373,書籍!$A$2:$A$2000,0)),"（沒建檔）"))</f>
        <v/>
      </c>
      <c r="F1373" s="9" t="str">
        <f aca="false">IF($A1373="","",IFERROR(INDEX(會員!$B$2:$B$2000,MATCH($A1373,會員!$A$2:$A$2000,0)),"（沒建檔）"))</f>
        <v/>
      </c>
      <c r="G1373" s="10" t="str">
        <f aca="false">IF($B1373="","",IF($D1373="","未還","已還"))</f>
        <v/>
      </c>
    </row>
    <row r="1374" customFormat="false" ht="15" hidden="false" customHeight="false" outlineLevel="0" collapsed="false">
      <c r="E1374" s="9" t="str">
        <f aca="false">IF($B1374="","",IFERROR(INDEX(書籍!$B$2:$B$2000,MATCH($B1374,書籍!$A$2:$A$2000,0)),"（沒建檔）"))</f>
        <v/>
      </c>
      <c r="F1374" s="9" t="str">
        <f aca="false">IF($A1374="","",IFERROR(INDEX(會員!$B$2:$B$2000,MATCH($A1374,會員!$A$2:$A$2000,0)),"（沒建檔）"))</f>
        <v/>
      </c>
      <c r="G1374" s="10" t="str">
        <f aca="false">IF($B1374="","",IF($D1374="","未還","已還"))</f>
        <v/>
      </c>
    </row>
    <row r="1375" customFormat="false" ht="15" hidden="false" customHeight="false" outlineLevel="0" collapsed="false">
      <c r="E1375" s="9" t="str">
        <f aca="false">IF($B1375="","",IFERROR(INDEX(書籍!$B$2:$B$2000,MATCH($B1375,書籍!$A$2:$A$2000,0)),"（沒建檔）"))</f>
        <v/>
      </c>
      <c r="F1375" s="9" t="str">
        <f aca="false">IF($A1375="","",IFERROR(INDEX(會員!$B$2:$B$2000,MATCH($A1375,會員!$A$2:$A$2000,0)),"（沒建檔）"))</f>
        <v/>
      </c>
      <c r="G1375" s="10" t="str">
        <f aca="false">IF($B1375="","",IF($D1375="","未還","已還"))</f>
        <v/>
      </c>
    </row>
    <row r="1376" customFormat="false" ht="15" hidden="false" customHeight="false" outlineLevel="0" collapsed="false">
      <c r="E1376" s="9" t="str">
        <f aca="false">IF($B1376="","",IFERROR(INDEX(書籍!$B$2:$B$2000,MATCH($B1376,書籍!$A$2:$A$2000,0)),"（沒建檔）"))</f>
        <v/>
      </c>
      <c r="F1376" s="9" t="str">
        <f aca="false">IF($A1376="","",IFERROR(INDEX(會員!$B$2:$B$2000,MATCH($A1376,會員!$A$2:$A$2000,0)),"（沒建檔）"))</f>
        <v/>
      </c>
      <c r="G1376" s="10" t="str">
        <f aca="false">IF($B1376="","",IF($D1376="","未還","已還"))</f>
        <v/>
      </c>
    </row>
    <row r="1377" customFormat="false" ht="15" hidden="false" customHeight="false" outlineLevel="0" collapsed="false">
      <c r="E1377" s="9" t="str">
        <f aca="false">IF($B1377="","",IFERROR(INDEX(書籍!$B$2:$B$2000,MATCH($B1377,書籍!$A$2:$A$2000,0)),"（沒建檔）"))</f>
        <v/>
      </c>
      <c r="F1377" s="9" t="str">
        <f aca="false">IF($A1377="","",IFERROR(INDEX(會員!$B$2:$B$2000,MATCH($A1377,會員!$A$2:$A$2000,0)),"（沒建檔）"))</f>
        <v/>
      </c>
      <c r="G1377" s="10" t="str">
        <f aca="false">IF($B1377="","",IF($D1377="","未還","已還"))</f>
        <v/>
      </c>
    </row>
    <row r="1378" customFormat="false" ht="15" hidden="false" customHeight="false" outlineLevel="0" collapsed="false">
      <c r="E1378" s="9" t="str">
        <f aca="false">IF($B1378="","",IFERROR(INDEX(書籍!$B$2:$B$2000,MATCH($B1378,書籍!$A$2:$A$2000,0)),"（沒建檔）"))</f>
        <v/>
      </c>
      <c r="F1378" s="9" t="str">
        <f aca="false">IF($A1378="","",IFERROR(INDEX(會員!$B$2:$B$2000,MATCH($A1378,會員!$A$2:$A$2000,0)),"（沒建檔）"))</f>
        <v/>
      </c>
      <c r="G1378" s="10" t="str">
        <f aca="false">IF($B1378="","",IF($D1378="","未還","已還"))</f>
        <v/>
      </c>
    </row>
    <row r="1379" customFormat="false" ht="15" hidden="false" customHeight="false" outlineLevel="0" collapsed="false">
      <c r="E1379" s="9" t="str">
        <f aca="false">IF($B1379="","",IFERROR(INDEX(書籍!$B$2:$B$2000,MATCH($B1379,書籍!$A$2:$A$2000,0)),"（沒建檔）"))</f>
        <v/>
      </c>
      <c r="F1379" s="9" t="str">
        <f aca="false">IF($A1379="","",IFERROR(INDEX(會員!$B$2:$B$2000,MATCH($A1379,會員!$A$2:$A$2000,0)),"（沒建檔）"))</f>
        <v/>
      </c>
      <c r="G1379" s="10" t="str">
        <f aca="false">IF($B1379="","",IF($D1379="","未還","已還"))</f>
        <v/>
      </c>
    </row>
    <row r="1380" customFormat="false" ht="15" hidden="false" customHeight="false" outlineLevel="0" collapsed="false">
      <c r="E1380" s="9" t="str">
        <f aca="false">IF($B1380="","",IFERROR(INDEX(書籍!$B$2:$B$2000,MATCH($B1380,書籍!$A$2:$A$2000,0)),"（沒建檔）"))</f>
        <v/>
      </c>
      <c r="F1380" s="9" t="str">
        <f aca="false">IF($A1380="","",IFERROR(INDEX(會員!$B$2:$B$2000,MATCH($A1380,會員!$A$2:$A$2000,0)),"（沒建檔）"))</f>
        <v/>
      </c>
      <c r="G1380" s="10" t="str">
        <f aca="false">IF($B1380="","",IF($D1380="","未還","已還"))</f>
        <v/>
      </c>
    </row>
    <row r="1381" customFormat="false" ht="15" hidden="false" customHeight="false" outlineLevel="0" collapsed="false">
      <c r="E1381" s="9" t="str">
        <f aca="false">IF($B1381="","",IFERROR(INDEX(書籍!$B$2:$B$2000,MATCH($B1381,書籍!$A$2:$A$2000,0)),"（沒建檔）"))</f>
        <v/>
      </c>
      <c r="F1381" s="9" t="str">
        <f aca="false">IF($A1381="","",IFERROR(INDEX(會員!$B$2:$B$2000,MATCH($A1381,會員!$A$2:$A$2000,0)),"（沒建檔）"))</f>
        <v/>
      </c>
      <c r="G1381" s="10" t="str">
        <f aca="false">IF($B1381="","",IF($D1381="","未還","已還"))</f>
        <v/>
      </c>
    </row>
    <row r="1382" customFormat="false" ht="15" hidden="false" customHeight="false" outlineLevel="0" collapsed="false">
      <c r="E1382" s="9" t="str">
        <f aca="false">IF($B1382="","",IFERROR(INDEX(書籍!$B$2:$B$2000,MATCH($B1382,書籍!$A$2:$A$2000,0)),"（沒建檔）"))</f>
        <v/>
      </c>
      <c r="F1382" s="9" t="str">
        <f aca="false">IF($A1382="","",IFERROR(INDEX(會員!$B$2:$B$2000,MATCH($A1382,會員!$A$2:$A$2000,0)),"（沒建檔）"))</f>
        <v/>
      </c>
      <c r="G1382" s="10" t="str">
        <f aca="false">IF($B1382="","",IF($D1382="","未還","已還"))</f>
        <v/>
      </c>
    </row>
    <row r="1383" customFormat="false" ht="15" hidden="false" customHeight="false" outlineLevel="0" collapsed="false">
      <c r="E1383" s="9" t="str">
        <f aca="false">IF($B1383="","",IFERROR(INDEX(書籍!$B$2:$B$2000,MATCH($B1383,書籍!$A$2:$A$2000,0)),"（沒建檔）"))</f>
        <v/>
      </c>
      <c r="F1383" s="9" t="str">
        <f aca="false">IF($A1383="","",IFERROR(INDEX(會員!$B$2:$B$2000,MATCH($A1383,會員!$A$2:$A$2000,0)),"（沒建檔）"))</f>
        <v/>
      </c>
      <c r="G1383" s="10" t="str">
        <f aca="false">IF($B1383="","",IF($D1383="","未還","已還"))</f>
        <v/>
      </c>
    </row>
    <row r="1384" customFormat="false" ht="15" hidden="false" customHeight="false" outlineLevel="0" collapsed="false">
      <c r="E1384" s="9" t="str">
        <f aca="false">IF($B1384="","",IFERROR(INDEX(書籍!$B$2:$B$2000,MATCH($B1384,書籍!$A$2:$A$2000,0)),"（沒建檔）"))</f>
        <v/>
      </c>
      <c r="F1384" s="9" t="str">
        <f aca="false">IF($A1384="","",IFERROR(INDEX(會員!$B$2:$B$2000,MATCH($A1384,會員!$A$2:$A$2000,0)),"（沒建檔）"))</f>
        <v/>
      </c>
      <c r="G1384" s="10" t="str">
        <f aca="false">IF($B1384="","",IF($D1384="","未還","已還"))</f>
        <v/>
      </c>
    </row>
    <row r="1385" customFormat="false" ht="15" hidden="false" customHeight="false" outlineLevel="0" collapsed="false">
      <c r="E1385" s="9" t="str">
        <f aca="false">IF($B1385="","",IFERROR(INDEX(書籍!$B$2:$B$2000,MATCH($B1385,書籍!$A$2:$A$2000,0)),"（沒建檔）"))</f>
        <v/>
      </c>
      <c r="F1385" s="9" t="str">
        <f aca="false">IF($A1385="","",IFERROR(INDEX(會員!$B$2:$B$2000,MATCH($A1385,會員!$A$2:$A$2000,0)),"（沒建檔）"))</f>
        <v/>
      </c>
      <c r="G1385" s="10" t="str">
        <f aca="false">IF($B1385="","",IF($D1385="","未還","已還"))</f>
        <v/>
      </c>
    </row>
    <row r="1386" customFormat="false" ht="15" hidden="false" customHeight="false" outlineLevel="0" collapsed="false">
      <c r="E1386" s="9" t="str">
        <f aca="false">IF($B1386="","",IFERROR(INDEX(書籍!$B$2:$B$2000,MATCH($B1386,書籍!$A$2:$A$2000,0)),"（沒建檔）"))</f>
        <v/>
      </c>
      <c r="F1386" s="9" t="str">
        <f aca="false">IF($A1386="","",IFERROR(INDEX(會員!$B$2:$B$2000,MATCH($A1386,會員!$A$2:$A$2000,0)),"（沒建檔）"))</f>
        <v/>
      </c>
      <c r="G1386" s="10" t="str">
        <f aca="false">IF($B1386="","",IF($D1386="","未還","已還"))</f>
        <v/>
      </c>
    </row>
    <row r="1387" customFormat="false" ht="15" hidden="false" customHeight="false" outlineLevel="0" collapsed="false">
      <c r="E1387" s="9" t="str">
        <f aca="false">IF($B1387="","",IFERROR(INDEX(書籍!$B$2:$B$2000,MATCH($B1387,書籍!$A$2:$A$2000,0)),"（沒建檔）"))</f>
        <v/>
      </c>
      <c r="F1387" s="9" t="str">
        <f aca="false">IF($A1387="","",IFERROR(INDEX(會員!$B$2:$B$2000,MATCH($A1387,會員!$A$2:$A$2000,0)),"（沒建檔）"))</f>
        <v/>
      </c>
      <c r="G1387" s="10" t="str">
        <f aca="false">IF($B1387="","",IF($D1387="","未還","已還"))</f>
        <v/>
      </c>
    </row>
    <row r="1388" customFormat="false" ht="15" hidden="false" customHeight="false" outlineLevel="0" collapsed="false">
      <c r="E1388" s="9" t="str">
        <f aca="false">IF($B1388="","",IFERROR(INDEX(書籍!$B$2:$B$2000,MATCH($B1388,書籍!$A$2:$A$2000,0)),"（沒建檔）"))</f>
        <v/>
      </c>
      <c r="F1388" s="9" t="str">
        <f aca="false">IF($A1388="","",IFERROR(INDEX(會員!$B$2:$B$2000,MATCH($A1388,會員!$A$2:$A$2000,0)),"（沒建檔）"))</f>
        <v/>
      </c>
      <c r="G1388" s="10" t="str">
        <f aca="false">IF($B1388="","",IF($D1388="","未還","已還"))</f>
        <v/>
      </c>
    </row>
    <row r="1389" customFormat="false" ht="15" hidden="false" customHeight="false" outlineLevel="0" collapsed="false">
      <c r="E1389" s="9" t="str">
        <f aca="false">IF($B1389="","",IFERROR(INDEX(書籍!$B$2:$B$2000,MATCH($B1389,書籍!$A$2:$A$2000,0)),"（沒建檔）"))</f>
        <v/>
      </c>
      <c r="F1389" s="9" t="str">
        <f aca="false">IF($A1389="","",IFERROR(INDEX(會員!$B$2:$B$2000,MATCH($A1389,會員!$A$2:$A$2000,0)),"（沒建檔）"))</f>
        <v/>
      </c>
      <c r="G1389" s="10" t="str">
        <f aca="false">IF($B1389="","",IF($D1389="","未還","已還"))</f>
        <v/>
      </c>
    </row>
    <row r="1390" customFormat="false" ht="15" hidden="false" customHeight="false" outlineLevel="0" collapsed="false">
      <c r="E1390" s="9" t="str">
        <f aca="false">IF($B1390="","",IFERROR(INDEX(書籍!$B$2:$B$2000,MATCH($B1390,書籍!$A$2:$A$2000,0)),"（沒建檔）"))</f>
        <v/>
      </c>
      <c r="F1390" s="9" t="str">
        <f aca="false">IF($A1390="","",IFERROR(INDEX(會員!$B$2:$B$2000,MATCH($A1390,會員!$A$2:$A$2000,0)),"（沒建檔）"))</f>
        <v/>
      </c>
      <c r="G1390" s="10" t="str">
        <f aca="false">IF($B1390="","",IF($D1390="","未還","已還"))</f>
        <v/>
      </c>
    </row>
    <row r="1391" customFormat="false" ht="15" hidden="false" customHeight="false" outlineLevel="0" collapsed="false">
      <c r="E1391" s="9" t="str">
        <f aca="false">IF($B1391="","",IFERROR(INDEX(書籍!$B$2:$B$2000,MATCH($B1391,書籍!$A$2:$A$2000,0)),"（沒建檔）"))</f>
        <v/>
      </c>
      <c r="F1391" s="9" t="str">
        <f aca="false">IF($A1391="","",IFERROR(INDEX(會員!$B$2:$B$2000,MATCH($A1391,會員!$A$2:$A$2000,0)),"（沒建檔）"))</f>
        <v/>
      </c>
      <c r="G1391" s="10" t="str">
        <f aca="false">IF($B1391="","",IF($D1391="","未還","已還"))</f>
        <v/>
      </c>
    </row>
    <row r="1392" customFormat="false" ht="15" hidden="false" customHeight="false" outlineLevel="0" collapsed="false">
      <c r="E1392" s="9" t="str">
        <f aca="false">IF($B1392="","",IFERROR(INDEX(書籍!$B$2:$B$2000,MATCH($B1392,書籍!$A$2:$A$2000,0)),"（沒建檔）"))</f>
        <v/>
      </c>
      <c r="F1392" s="9" t="str">
        <f aca="false">IF($A1392="","",IFERROR(INDEX(會員!$B$2:$B$2000,MATCH($A1392,會員!$A$2:$A$2000,0)),"（沒建檔）"))</f>
        <v/>
      </c>
      <c r="G1392" s="10" t="str">
        <f aca="false">IF($B1392="","",IF($D1392="","未還","已還"))</f>
        <v/>
      </c>
    </row>
    <row r="1393" customFormat="false" ht="15" hidden="false" customHeight="false" outlineLevel="0" collapsed="false">
      <c r="E1393" s="9" t="str">
        <f aca="false">IF($B1393="","",IFERROR(INDEX(書籍!$B$2:$B$2000,MATCH($B1393,書籍!$A$2:$A$2000,0)),"（沒建檔）"))</f>
        <v/>
      </c>
      <c r="F1393" s="9" t="str">
        <f aca="false">IF($A1393="","",IFERROR(INDEX(會員!$B$2:$B$2000,MATCH($A1393,會員!$A$2:$A$2000,0)),"（沒建檔）"))</f>
        <v/>
      </c>
      <c r="G1393" s="10" t="str">
        <f aca="false">IF($B1393="","",IF($D1393="","未還","已還"))</f>
        <v/>
      </c>
    </row>
    <row r="1394" customFormat="false" ht="15" hidden="false" customHeight="false" outlineLevel="0" collapsed="false">
      <c r="E1394" s="9" t="str">
        <f aca="false">IF($B1394="","",IFERROR(INDEX(書籍!$B$2:$B$2000,MATCH($B1394,書籍!$A$2:$A$2000,0)),"（沒建檔）"))</f>
        <v/>
      </c>
      <c r="F1394" s="9" t="str">
        <f aca="false">IF($A1394="","",IFERROR(INDEX(會員!$B$2:$B$2000,MATCH($A1394,會員!$A$2:$A$2000,0)),"（沒建檔）"))</f>
        <v/>
      </c>
      <c r="G1394" s="10" t="str">
        <f aca="false">IF($B1394="","",IF($D1394="","未還","已還"))</f>
        <v/>
      </c>
    </row>
    <row r="1395" customFormat="false" ht="15" hidden="false" customHeight="false" outlineLevel="0" collapsed="false">
      <c r="E1395" s="9" t="str">
        <f aca="false">IF($B1395="","",IFERROR(INDEX(書籍!$B$2:$B$2000,MATCH($B1395,書籍!$A$2:$A$2000,0)),"（沒建檔）"))</f>
        <v/>
      </c>
      <c r="F1395" s="9" t="str">
        <f aca="false">IF($A1395="","",IFERROR(INDEX(會員!$B$2:$B$2000,MATCH($A1395,會員!$A$2:$A$2000,0)),"（沒建檔）"))</f>
        <v/>
      </c>
      <c r="G1395" s="10" t="str">
        <f aca="false">IF($B1395="","",IF($D1395="","未還","已還"))</f>
        <v/>
      </c>
    </row>
    <row r="1396" customFormat="false" ht="15" hidden="false" customHeight="false" outlineLevel="0" collapsed="false">
      <c r="E1396" s="9" t="str">
        <f aca="false">IF($B1396="","",IFERROR(INDEX(書籍!$B$2:$B$2000,MATCH($B1396,書籍!$A$2:$A$2000,0)),"（沒建檔）"))</f>
        <v/>
      </c>
      <c r="F1396" s="9" t="str">
        <f aca="false">IF($A1396="","",IFERROR(INDEX(會員!$B$2:$B$2000,MATCH($A1396,會員!$A$2:$A$2000,0)),"（沒建檔）"))</f>
        <v/>
      </c>
      <c r="G1396" s="10" t="str">
        <f aca="false">IF($B1396="","",IF($D1396="","未還","已還"))</f>
        <v/>
      </c>
    </row>
    <row r="1397" customFormat="false" ht="15" hidden="false" customHeight="false" outlineLevel="0" collapsed="false">
      <c r="E1397" s="9" t="str">
        <f aca="false">IF($B1397="","",IFERROR(INDEX(書籍!$B$2:$B$2000,MATCH($B1397,書籍!$A$2:$A$2000,0)),"（沒建檔）"))</f>
        <v/>
      </c>
      <c r="F1397" s="9" t="str">
        <f aca="false">IF($A1397="","",IFERROR(INDEX(會員!$B$2:$B$2000,MATCH($A1397,會員!$A$2:$A$2000,0)),"（沒建檔）"))</f>
        <v/>
      </c>
      <c r="G1397" s="10" t="str">
        <f aca="false">IF($B1397="","",IF($D1397="","未還","已還"))</f>
        <v/>
      </c>
    </row>
    <row r="1398" customFormat="false" ht="15" hidden="false" customHeight="false" outlineLevel="0" collapsed="false">
      <c r="E1398" s="9" t="str">
        <f aca="false">IF($B1398="","",IFERROR(INDEX(書籍!$B$2:$B$2000,MATCH($B1398,書籍!$A$2:$A$2000,0)),"（沒建檔）"))</f>
        <v/>
      </c>
      <c r="F1398" s="9" t="str">
        <f aca="false">IF($A1398="","",IFERROR(INDEX(會員!$B$2:$B$2000,MATCH($A1398,會員!$A$2:$A$2000,0)),"（沒建檔）"))</f>
        <v/>
      </c>
      <c r="G1398" s="10" t="str">
        <f aca="false">IF($B1398="","",IF($D1398="","未還","已還"))</f>
        <v/>
      </c>
    </row>
    <row r="1399" customFormat="false" ht="15" hidden="false" customHeight="false" outlineLevel="0" collapsed="false">
      <c r="E1399" s="9" t="str">
        <f aca="false">IF($B1399="","",IFERROR(INDEX(書籍!$B$2:$B$2000,MATCH($B1399,書籍!$A$2:$A$2000,0)),"（沒建檔）"))</f>
        <v/>
      </c>
      <c r="F1399" s="9" t="str">
        <f aca="false">IF($A1399="","",IFERROR(INDEX(會員!$B$2:$B$2000,MATCH($A1399,會員!$A$2:$A$2000,0)),"（沒建檔）"))</f>
        <v/>
      </c>
      <c r="G1399" s="10" t="str">
        <f aca="false">IF($B1399="","",IF($D1399="","未還","已還"))</f>
        <v/>
      </c>
    </row>
    <row r="1400" customFormat="false" ht="15" hidden="false" customHeight="false" outlineLevel="0" collapsed="false">
      <c r="E1400" s="9" t="str">
        <f aca="false">IF($B1400="","",IFERROR(INDEX(書籍!$B$2:$B$2000,MATCH($B1400,書籍!$A$2:$A$2000,0)),"（沒建檔）"))</f>
        <v/>
      </c>
      <c r="F1400" s="9" t="str">
        <f aca="false">IF($A1400="","",IFERROR(INDEX(會員!$B$2:$B$2000,MATCH($A1400,會員!$A$2:$A$2000,0)),"（沒建檔）"))</f>
        <v/>
      </c>
      <c r="G1400" s="10" t="str">
        <f aca="false">IF($B1400="","",IF($D1400="","未還","已還"))</f>
        <v/>
      </c>
    </row>
    <row r="1401" customFormat="false" ht="15" hidden="false" customHeight="false" outlineLevel="0" collapsed="false">
      <c r="E1401" s="9" t="str">
        <f aca="false">IF($B1401="","",IFERROR(INDEX(書籍!$B$2:$B$2000,MATCH($B1401,書籍!$A$2:$A$2000,0)),"（沒建檔）"))</f>
        <v/>
      </c>
      <c r="F1401" s="9" t="str">
        <f aca="false">IF($A1401="","",IFERROR(INDEX(會員!$B$2:$B$2000,MATCH($A1401,會員!$A$2:$A$2000,0)),"（沒建檔）"))</f>
        <v/>
      </c>
      <c r="G1401" s="10" t="str">
        <f aca="false">IF($B1401="","",IF($D1401="","未還","已還"))</f>
        <v/>
      </c>
    </row>
    <row r="1402" customFormat="false" ht="15" hidden="false" customHeight="false" outlineLevel="0" collapsed="false">
      <c r="E1402" s="9" t="str">
        <f aca="false">IF($B1402="","",IFERROR(INDEX(書籍!$B$2:$B$2000,MATCH($B1402,書籍!$A$2:$A$2000,0)),"（沒建檔）"))</f>
        <v/>
      </c>
      <c r="F1402" s="9" t="str">
        <f aca="false">IF($A1402="","",IFERROR(INDEX(會員!$B$2:$B$2000,MATCH($A1402,會員!$A$2:$A$2000,0)),"（沒建檔）"))</f>
        <v/>
      </c>
      <c r="G1402" s="10" t="str">
        <f aca="false">IF($B1402="","",IF($D1402="","未還","已還"))</f>
        <v/>
      </c>
    </row>
    <row r="1403" customFormat="false" ht="15" hidden="false" customHeight="false" outlineLevel="0" collapsed="false">
      <c r="E1403" s="9" t="str">
        <f aca="false">IF($B1403="","",IFERROR(INDEX(書籍!$B$2:$B$2000,MATCH($B1403,書籍!$A$2:$A$2000,0)),"（沒建檔）"))</f>
        <v/>
      </c>
      <c r="F1403" s="9" t="str">
        <f aca="false">IF($A1403="","",IFERROR(INDEX(會員!$B$2:$B$2000,MATCH($A1403,會員!$A$2:$A$2000,0)),"（沒建檔）"))</f>
        <v/>
      </c>
      <c r="G1403" s="10" t="str">
        <f aca="false">IF($B1403="","",IF($D1403="","未還","已還"))</f>
        <v/>
      </c>
    </row>
    <row r="1404" customFormat="false" ht="15" hidden="false" customHeight="false" outlineLevel="0" collapsed="false">
      <c r="E1404" s="9" t="str">
        <f aca="false">IF($B1404="","",IFERROR(INDEX(書籍!$B$2:$B$2000,MATCH($B1404,書籍!$A$2:$A$2000,0)),"（沒建檔）"))</f>
        <v/>
      </c>
      <c r="F1404" s="9" t="str">
        <f aca="false">IF($A1404="","",IFERROR(INDEX(會員!$B$2:$B$2000,MATCH($A1404,會員!$A$2:$A$2000,0)),"（沒建檔）"))</f>
        <v/>
      </c>
      <c r="G1404" s="10" t="str">
        <f aca="false">IF($B1404="","",IF($D1404="","未還","已還"))</f>
        <v/>
      </c>
    </row>
    <row r="1405" customFormat="false" ht="15" hidden="false" customHeight="false" outlineLevel="0" collapsed="false">
      <c r="E1405" s="9" t="str">
        <f aca="false">IF($B1405="","",IFERROR(INDEX(書籍!$B$2:$B$2000,MATCH($B1405,書籍!$A$2:$A$2000,0)),"（沒建檔）"))</f>
        <v/>
      </c>
      <c r="F1405" s="9" t="str">
        <f aca="false">IF($A1405="","",IFERROR(INDEX(會員!$B$2:$B$2000,MATCH($A1405,會員!$A$2:$A$2000,0)),"（沒建檔）"))</f>
        <v/>
      </c>
      <c r="G1405" s="10" t="str">
        <f aca="false">IF($B1405="","",IF($D1405="","未還","已還"))</f>
        <v/>
      </c>
    </row>
    <row r="1406" customFormat="false" ht="15" hidden="false" customHeight="false" outlineLevel="0" collapsed="false">
      <c r="E1406" s="9" t="str">
        <f aca="false">IF($B1406="","",IFERROR(INDEX(書籍!$B$2:$B$2000,MATCH($B1406,書籍!$A$2:$A$2000,0)),"（沒建檔）"))</f>
        <v/>
      </c>
      <c r="F1406" s="9" t="str">
        <f aca="false">IF($A1406="","",IFERROR(INDEX(會員!$B$2:$B$2000,MATCH($A1406,會員!$A$2:$A$2000,0)),"（沒建檔）"))</f>
        <v/>
      </c>
      <c r="G1406" s="10" t="str">
        <f aca="false">IF($B1406="","",IF($D1406="","未還","已還"))</f>
        <v/>
      </c>
    </row>
    <row r="1407" customFormat="false" ht="15" hidden="false" customHeight="false" outlineLevel="0" collapsed="false">
      <c r="E1407" s="9" t="str">
        <f aca="false">IF($B1407="","",IFERROR(INDEX(書籍!$B$2:$B$2000,MATCH($B1407,書籍!$A$2:$A$2000,0)),"（沒建檔）"))</f>
        <v/>
      </c>
      <c r="F1407" s="9" t="str">
        <f aca="false">IF($A1407="","",IFERROR(INDEX(會員!$B$2:$B$2000,MATCH($A1407,會員!$A$2:$A$2000,0)),"（沒建檔）"))</f>
        <v/>
      </c>
      <c r="G1407" s="10" t="str">
        <f aca="false">IF($B1407="","",IF($D1407="","未還","已還"))</f>
        <v/>
      </c>
    </row>
    <row r="1408" customFormat="false" ht="15" hidden="false" customHeight="false" outlineLevel="0" collapsed="false">
      <c r="E1408" s="9" t="str">
        <f aca="false">IF($B1408="","",IFERROR(INDEX(書籍!$B$2:$B$2000,MATCH($B1408,書籍!$A$2:$A$2000,0)),"（沒建檔）"))</f>
        <v/>
      </c>
      <c r="F1408" s="9" t="str">
        <f aca="false">IF($A1408="","",IFERROR(INDEX(會員!$B$2:$B$2000,MATCH($A1408,會員!$A$2:$A$2000,0)),"（沒建檔）"))</f>
        <v/>
      </c>
      <c r="G1408" s="10" t="str">
        <f aca="false">IF($B1408="","",IF($D1408="","未還","已還"))</f>
        <v/>
      </c>
    </row>
    <row r="1409" customFormat="false" ht="15" hidden="false" customHeight="false" outlineLevel="0" collapsed="false">
      <c r="E1409" s="9" t="str">
        <f aca="false">IF($B1409="","",IFERROR(INDEX(書籍!$B$2:$B$2000,MATCH($B1409,書籍!$A$2:$A$2000,0)),"（沒建檔）"))</f>
        <v/>
      </c>
      <c r="F1409" s="9" t="str">
        <f aca="false">IF($A1409="","",IFERROR(INDEX(會員!$B$2:$B$2000,MATCH($A1409,會員!$A$2:$A$2000,0)),"（沒建檔）"))</f>
        <v/>
      </c>
      <c r="G1409" s="10" t="str">
        <f aca="false">IF($B1409="","",IF($D1409="","未還","已還"))</f>
        <v/>
      </c>
    </row>
    <row r="1410" customFormat="false" ht="15" hidden="false" customHeight="false" outlineLevel="0" collapsed="false">
      <c r="E1410" s="9" t="str">
        <f aca="false">IF($B1410="","",IFERROR(INDEX(書籍!$B$2:$B$2000,MATCH($B1410,書籍!$A$2:$A$2000,0)),"（沒建檔）"))</f>
        <v/>
      </c>
      <c r="F1410" s="9" t="str">
        <f aca="false">IF($A1410="","",IFERROR(INDEX(會員!$B$2:$B$2000,MATCH($A1410,會員!$A$2:$A$2000,0)),"（沒建檔）"))</f>
        <v/>
      </c>
      <c r="G1410" s="10" t="str">
        <f aca="false">IF($B1410="","",IF($D1410="","未還","已還"))</f>
        <v/>
      </c>
    </row>
    <row r="1411" customFormat="false" ht="15" hidden="false" customHeight="false" outlineLevel="0" collapsed="false">
      <c r="E1411" s="9" t="str">
        <f aca="false">IF($B1411="","",IFERROR(INDEX(書籍!$B$2:$B$2000,MATCH($B1411,書籍!$A$2:$A$2000,0)),"（沒建檔）"))</f>
        <v/>
      </c>
      <c r="F1411" s="9" t="str">
        <f aca="false">IF($A1411="","",IFERROR(INDEX(會員!$B$2:$B$2000,MATCH($A1411,會員!$A$2:$A$2000,0)),"（沒建檔）"))</f>
        <v/>
      </c>
      <c r="G1411" s="10" t="str">
        <f aca="false">IF($B1411="","",IF($D1411="","未還","已還"))</f>
        <v/>
      </c>
    </row>
    <row r="1412" customFormat="false" ht="15" hidden="false" customHeight="false" outlineLevel="0" collapsed="false">
      <c r="E1412" s="9" t="str">
        <f aca="false">IF($B1412="","",IFERROR(INDEX(書籍!$B$2:$B$2000,MATCH($B1412,書籍!$A$2:$A$2000,0)),"（沒建檔）"))</f>
        <v/>
      </c>
      <c r="F1412" s="9" t="str">
        <f aca="false">IF($A1412="","",IFERROR(INDEX(會員!$B$2:$B$2000,MATCH($A1412,會員!$A$2:$A$2000,0)),"（沒建檔）"))</f>
        <v/>
      </c>
      <c r="G1412" s="10" t="str">
        <f aca="false">IF($B1412="","",IF($D1412="","未還","已還"))</f>
        <v/>
      </c>
    </row>
    <row r="1413" customFormat="false" ht="15" hidden="false" customHeight="false" outlineLevel="0" collapsed="false">
      <c r="E1413" s="9" t="str">
        <f aca="false">IF($B1413="","",IFERROR(INDEX(書籍!$B$2:$B$2000,MATCH($B1413,書籍!$A$2:$A$2000,0)),"（沒建檔）"))</f>
        <v/>
      </c>
      <c r="F1413" s="9" t="str">
        <f aca="false">IF($A1413="","",IFERROR(INDEX(會員!$B$2:$B$2000,MATCH($A1413,會員!$A$2:$A$2000,0)),"（沒建檔）"))</f>
        <v/>
      </c>
      <c r="G1413" s="10" t="str">
        <f aca="false">IF($B1413="","",IF($D1413="","未還","已還"))</f>
        <v/>
      </c>
    </row>
    <row r="1414" customFormat="false" ht="15" hidden="false" customHeight="false" outlineLevel="0" collapsed="false">
      <c r="E1414" s="9" t="str">
        <f aca="false">IF($B1414="","",IFERROR(INDEX(書籍!$B$2:$B$2000,MATCH($B1414,書籍!$A$2:$A$2000,0)),"（沒建檔）"))</f>
        <v/>
      </c>
      <c r="F1414" s="9" t="str">
        <f aca="false">IF($A1414="","",IFERROR(INDEX(會員!$B$2:$B$2000,MATCH($A1414,會員!$A$2:$A$2000,0)),"（沒建檔）"))</f>
        <v/>
      </c>
      <c r="G1414" s="10" t="str">
        <f aca="false">IF($B1414="","",IF($D1414="","未還","已還"))</f>
        <v/>
      </c>
    </row>
    <row r="1415" customFormat="false" ht="15" hidden="false" customHeight="false" outlineLevel="0" collapsed="false">
      <c r="E1415" s="9" t="str">
        <f aca="false">IF($B1415="","",IFERROR(INDEX(書籍!$B$2:$B$2000,MATCH($B1415,書籍!$A$2:$A$2000,0)),"（沒建檔）"))</f>
        <v/>
      </c>
      <c r="F1415" s="9" t="str">
        <f aca="false">IF($A1415="","",IFERROR(INDEX(會員!$B$2:$B$2000,MATCH($A1415,會員!$A$2:$A$2000,0)),"（沒建檔）"))</f>
        <v/>
      </c>
      <c r="G1415" s="10" t="str">
        <f aca="false">IF($B1415="","",IF($D1415="","未還","已還"))</f>
        <v/>
      </c>
    </row>
    <row r="1416" customFormat="false" ht="15" hidden="false" customHeight="false" outlineLevel="0" collapsed="false">
      <c r="E1416" s="9" t="str">
        <f aca="false">IF($B1416="","",IFERROR(INDEX(書籍!$B$2:$B$2000,MATCH($B1416,書籍!$A$2:$A$2000,0)),"（沒建檔）"))</f>
        <v/>
      </c>
      <c r="F1416" s="9" t="str">
        <f aca="false">IF($A1416="","",IFERROR(INDEX(會員!$B$2:$B$2000,MATCH($A1416,會員!$A$2:$A$2000,0)),"（沒建檔）"))</f>
        <v/>
      </c>
      <c r="G1416" s="10" t="str">
        <f aca="false">IF($B1416="","",IF($D1416="","未還","已還"))</f>
        <v/>
      </c>
    </row>
    <row r="1417" customFormat="false" ht="15" hidden="false" customHeight="false" outlineLevel="0" collapsed="false">
      <c r="E1417" s="9" t="str">
        <f aca="false">IF($B1417="","",IFERROR(INDEX(書籍!$B$2:$B$2000,MATCH($B1417,書籍!$A$2:$A$2000,0)),"（沒建檔）"))</f>
        <v/>
      </c>
      <c r="F1417" s="9" t="str">
        <f aca="false">IF($A1417="","",IFERROR(INDEX(會員!$B$2:$B$2000,MATCH($A1417,會員!$A$2:$A$2000,0)),"（沒建檔）"))</f>
        <v/>
      </c>
      <c r="G1417" s="10" t="str">
        <f aca="false">IF($B1417="","",IF($D1417="","未還","已還"))</f>
        <v/>
      </c>
    </row>
    <row r="1418" customFormat="false" ht="15" hidden="false" customHeight="false" outlineLevel="0" collapsed="false">
      <c r="E1418" s="9" t="str">
        <f aca="false">IF($B1418="","",IFERROR(INDEX(書籍!$B$2:$B$2000,MATCH($B1418,書籍!$A$2:$A$2000,0)),"（沒建檔）"))</f>
        <v/>
      </c>
      <c r="F1418" s="9" t="str">
        <f aca="false">IF($A1418="","",IFERROR(INDEX(會員!$B$2:$B$2000,MATCH($A1418,會員!$A$2:$A$2000,0)),"（沒建檔）"))</f>
        <v/>
      </c>
      <c r="G1418" s="10" t="str">
        <f aca="false">IF($B1418="","",IF($D1418="","未還","已還"))</f>
        <v/>
      </c>
    </row>
    <row r="1419" customFormat="false" ht="15" hidden="false" customHeight="false" outlineLevel="0" collapsed="false">
      <c r="E1419" s="9" t="str">
        <f aca="false">IF($B1419="","",IFERROR(INDEX(書籍!$B$2:$B$2000,MATCH($B1419,書籍!$A$2:$A$2000,0)),"（沒建檔）"))</f>
        <v/>
      </c>
      <c r="F1419" s="9" t="str">
        <f aca="false">IF($A1419="","",IFERROR(INDEX(會員!$B$2:$B$2000,MATCH($A1419,會員!$A$2:$A$2000,0)),"（沒建檔）"))</f>
        <v/>
      </c>
      <c r="G1419" s="10" t="str">
        <f aca="false">IF($B1419="","",IF($D1419="","未還","已還"))</f>
        <v/>
      </c>
    </row>
    <row r="1420" customFormat="false" ht="15" hidden="false" customHeight="false" outlineLevel="0" collapsed="false">
      <c r="E1420" s="9" t="str">
        <f aca="false">IF($B1420="","",IFERROR(INDEX(書籍!$B$2:$B$2000,MATCH($B1420,書籍!$A$2:$A$2000,0)),"（沒建檔）"))</f>
        <v/>
      </c>
      <c r="F1420" s="9" t="str">
        <f aca="false">IF($A1420="","",IFERROR(INDEX(會員!$B$2:$B$2000,MATCH($A1420,會員!$A$2:$A$2000,0)),"（沒建檔）"))</f>
        <v/>
      </c>
      <c r="G1420" s="10" t="str">
        <f aca="false">IF($B1420="","",IF($D1420="","未還","已還"))</f>
        <v/>
      </c>
    </row>
    <row r="1421" customFormat="false" ht="15" hidden="false" customHeight="false" outlineLevel="0" collapsed="false">
      <c r="E1421" s="9" t="str">
        <f aca="false">IF($B1421="","",IFERROR(INDEX(書籍!$B$2:$B$2000,MATCH($B1421,書籍!$A$2:$A$2000,0)),"（沒建檔）"))</f>
        <v/>
      </c>
      <c r="F1421" s="9" t="str">
        <f aca="false">IF($A1421="","",IFERROR(INDEX(會員!$B$2:$B$2000,MATCH($A1421,會員!$A$2:$A$2000,0)),"（沒建檔）"))</f>
        <v/>
      </c>
      <c r="G1421" s="10" t="str">
        <f aca="false">IF($B1421="","",IF($D1421="","未還","已還"))</f>
        <v/>
      </c>
    </row>
    <row r="1422" customFormat="false" ht="15" hidden="false" customHeight="false" outlineLevel="0" collapsed="false">
      <c r="E1422" s="9" t="str">
        <f aca="false">IF($B1422="","",IFERROR(INDEX(書籍!$B$2:$B$2000,MATCH($B1422,書籍!$A$2:$A$2000,0)),"（沒建檔）"))</f>
        <v/>
      </c>
      <c r="F1422" s="9" t="str">
        <f aca="false">IF($A1422="","",IFERROR(INDEX(會員!$B$2:$B$2000,MATCH($A1422,會員!$A$2:$A$2000,0)),"（沒建檔）"))</f>
        <v/>
      </c>
      <c r="G1422" s="10" t="str">
        <f aca="false">IF($B1422="","",IF($D1422="","未還","已還"))</f>
        <v/>
      </c>
    </row>
    <row r="1423" customFormat="false" ht="15" hidden="false" customHeight="false" outlineLevel="0" collapsed="false">
      <c r="E1423" s="9" t="str">
        <f aca="false">IF($B1423="","",IFERROR(INDEX(書籍!$B$2:$B$2000,MATCH($B1423,書籍!$A$2:$A$2000,0)),"（沒建檔）"))</f>
        <v/>
      </c>
      <c r="F1423" s="9" t="str">
        <f aca="false">IF($A1423="","",IFERROR(INDEX(會員!$B$2:$B$2000,MATCH($A1423,會員!$A$2:$A$2000,0)),"（沒建檔）"))</f>
        <v/>
      </c>
      <c r="G1423" s="10" t="str">
        <f aca="false">IF($B1423="","",IF($D1423="","未還","已還"))</f>
        <v/>
      </c>
    </row>
    <row r="1424" customFormat="false" ht="15" hidden="false" customHeight="false" outlineLevel="0" collapsed="false">
      <c r="E1424" s="9" t="str">
        <f aca="false">IF($B1424="","",IFERROR(INDEX(書籍!$B$2:$B$2000,MATCH($B1424,書籍!$A$2:$A$2000,0)),"（沒建檔）"))</f>
        <v/>
      </c>
      <c r="F1424" s="9" t="str">
        <f aca="false">IF($A1424="","",IFERROR(INDEX(會員!$B$2:$B$2000,MATCH($A1424,會員!$A$2:$A$2000,0)),"（沒建檔）"))</f>
        <v/>
      </c>
      <c r="G1424" s="10" t="str">
        <f aca="false">IF($B1424="","",IF($D1424="","未還","已還"))</f>
        <v/>
      </c>
    </row>
    <row r="1425" customFormat="false" ht="15" hidden="false" customHeight="false" outlineLevel="0" collapsed="false">
      <c r="E1425" s="9" t="str">
        <f aca="false">IF($B1425="","",IFERROR(INDEX(書籍!$B$2:$B$2000,MATCH($B1425,書籍!$A$2:$A$2000,0)),"（沒建檔）"))</f>
        <v/>
      </c>
      <c r="F1425" s="9" t="str">
        <f aca="false">IF($A1425="","",IFERROR(INDEX(會員!$B$2:$B$2000,MATCH($A1425,會員!$A$2:$A$2000,0)),"（沒建檔）"))</f>
        <v/>
      </c>
      <c r="G1425" s="10" t="str">
        <f aca="false">IF($B1425="","",IF($D1425="","未還","已還"))</f>
        <v/>
      </c>
    </row>
    <row r="1426" customFormat="false" ht="15" hidden="false" customHeight="false" outlineLevel="0" collapsed="false">
      <c r="E1426" s="9" t="str">
        <f aca="false">IF($B1426="","",IFERROR(INDEX(書籍!$B$2:$B$2000,MATCH($B1426,書籍!$A$2:$A$2000,0)),"（沒建檔）"))</f>
        <v/>
      </c>
      <c r="F1426" s="9" t="str">
        <f aca="false">IF($A1426="","",IFERROR(INDEX(會員!$B$2:$B$2000,MATCH($A1426,會員!$A$2:$A$2000,0)),"（沒建檔）"))</f>
        <v/>
      </c>
      <c r="G1426" s="10" t="str">
        <f aca="false">IF($B1426="","",IF($D1426="","未還","已還"))</f>
        <v/>
      </c>
    </row>
    <row r="1427" customFormat="false" ht="15" hidden="false" customHeight="false" outlineLevel="0" collapsed="false">
      <c r="E1427" s="9" t="str">
        <f aca="false">IF($B1427="","",IFERROR(INDEX(書籍!$B$2:$B$2000,MATCH($B1427,書籍!$A$2:$A$2000,0)),"（沒建檔）"))</f>
        <v/>
      </c>
      <c r="F1427" s="9" t="str">
        <f aca="false">IF($A1427="","",IFERROR(INDEX(會員!$B$2:$B$2000,MATCH($A1427,會員!$A$2:$A$2000,0)),"（沒建檔）"))</f>
        <v/>
      </c>
      <c r="G1427" s="10" t="str">
        <f aca="false">IF($B1427="","",IF($D1427="","未還","已還"))</f>
        <v/>
      </c>
    </row>
    <row r="1428" customFormat="false" ht="15" hidden="false" customHeight="false" outlineLevel="0" collapsed="false">
      <c r="E1428" s="9" t="str">
        <f aca="false">IF($B1428="","",IFERROR(INDEX(書籍!$B$2:$B$2000,MATCH($B1428,書籍!$A$2:$A$2000,0)),"（沒建檔）"))</f>
        <v/>
      </c>
      <c r="F1428" s="9" t="str">
        <f aca="false">IF($A1428="","",IFERROR(INDEX(會員!$B$2:$B$2000,MATCH($A1428,會員!$A$2:$A$2000,0)),"（沒建檔）"))</f>
        <v/>
      </c>
      <c r="G1428" s="10" t="str">
        <f aca="false">IF($B1428="","",IF($D1428="","未還","已還"))</f>
        <v/>
      </c>
    </row>
    <row r="1429" customFormat="false" ht="15" hidden="false" customHeight="false" outlineLevel="0" collapsed="false">
      <c r="E1429" s="9" t="str">
        <f aca="false">IF($B1429="","",IFERROR(INDEX(書籍!$B$2:$B$2000,MATCH($B1429,書籍!$A$2:$A$2000,0)),"（沒建檔）"))</f>
        <v/>
      </c>
      <c r="F1429" s="9" t="str">
        <f aca="false">IF($A1429="","",IFERROR(INDEX(會員!$B$2:$B$2000,MATCH($A1429,會員!$A$2:$A$2000,0)),"（沒建檔）"))</f>
        <v/>
      </c>
      <c r="G1429" s="10" t="str">
        <f aca="false">IF($B1429="","",IF($D1429="","未還","已還"))</f>
        <v/>
      </c>
    </row>
    <row r="1430" customFormat="false" ht="15" hidden="false" customHeight="false" outlineLevel="0" collapsed="false">
      <c r="E1430" s="9" t="str">
        <f aca="false">IF($B1430="","",IFERROR(INDEX(書籍!$B$2:$B$2000,MATCH($B1430,書籍!$A$2:$A$2000,0)),"（沒建檔）"))</f>
        <v/>
      </c>
      <c r="F1430" s="9" t="str">
        <f aca="false">IF($A1430="","",IFERROR(INDEX(會員!$B$2:$B$2000,MATCH($A1430,會員!$A$2:$A$2000,0)),"（沒建檔）"))</f>
        <v/>
      </c>
      <c r="G1430" s="10" t="str">
        <f aca="false">IF($B1430="","",IF($D1430="","未還","已還"))</f>
        <v/>
      </c>
    </row>
    <row r="1431" customFormat="false" ht="15" hidden="false" customHeight="false" outlineLevel="0" collapsed="false">
      <c r="E1431" s="9" t="str">
        <f aca="false">IF($B1431="","",IFERROR(INDEX(書籍!$B$2:$B$2000,MATCH($B1431,書籍!$A$2:$A$2000,0)),"（沒建檔）"))</f>
        <v/>
      </c>
      <c r="F1431" s="9" t="str">
        <f aca="false">IF($A1431="","",IFERROR(INDEX(會員!$B$2:$B$2000,MATCH($A1431,會員!$A$2:$A$2000,0)),"（沒建檔）"))</f>
        <v/>
      </c>
      <c r="G1431" s="10" t="str">
        <f aca="false">IF($B1431="","",IF($D1431="","未還","已還"))</f>
        <v/>
      </c>
    </row>
    <row r="1432" customFormat="false" ht="15" hidden="false" customHeight="false" outlineLevel="0" collapsed="false">
      <c r="E1432" s="9" t="str">
        <f aca="false">IF($B1432="","",IFERROR(INDEX(書籍!$B$2:$B$2000,MATCH($B1432,書籍!$A$2:$A$2000,0)),"（沒建檔）"))</f>
        <v/>
      </c>
      <c r="F1432" s="9" t="str">
        <f aca="false">IF($A1432="","",IFERROR(INDEX(會員!$B$2:$B$2000,MATCH($A1432,會員!$A$2:$A$2000,0)),"（沒建檔）"))</f>
        <v/>
      </c>
      <c r="G1432" s="10" t="str">
        <f aca="false">IF($B1432="","",IF($D1432="","未還","已還"))</f>
        <v/>
      </c>
    </row>
    <row r="1433" customFormat="false" ht="15" hidden="false" customHeight="false" outlineLevel="0" collapsed="false">
      <c r="E1433" s="9" t="str">
        <f aca="false">IF($B1433="","",IFERROR(INDEX(書籍!$B$2:$B$2000,MATCH($B1433,書籍!$A$2:$A$2000,0)),"（沒建檔）"))</f>
        <v/>
      </c>
      <c r="F1433" s="9" t="str">
        <f aca="false">IF($A1433="","",IFERROR(INDEX(會員!$B$2:$B$2000,MATCH($A1433,會員!$A$2:$A$2000,0)),"（沒建檔）"))</f>
        <v/>
      </c>
      <c r="G1433" s="10" t="str">
        <f aca="false">IF($B1433="","",IF($D1433="","未還","已還"))</f>
        <v/>
      </c>
    </row>
    <row r="1434" customFormat="false" ht="15" hidden="false" customHeight="false" outlineLevel="0" collapsed="false">
      <c r="E1434" s="9" t="str">
        <f aca="false">IF($B1434="","",IFERROR(INDEX(書籍!$B$2:$B$2000,MATCH($B1434,書籍!$A$2:$A$2000,0)),"（沒建檔）"))</f>
        <v/>
      </c>
      <c r="F1434" s="9" t="str">
        <f aca="false">IF($A1434="","",IFERROR(INDEX(會員!$B$2:$B$2000,MATCH($A1434,會員!$A$2:$A$2000,0)),"（沒建檔）"))</f>
        <v/>
      </c>
      <c r="G1434" s="10" t="str">
        <f aca="false">IF($B1434="","",IF($D1434="","未還","已還"))</f>
        <v/>
      </c>
    </row>
    <row r="1435" customFormat="false" ht="15" hidden="false" customHeight="false" outlineLevel="0" collapsed="false">
      <c r="E1435" s="9" t="str">
        <f aca="false">IF($B1435="","",IFERROR(INDEX(書籍!$B$2:$B$2000,MATCH($B1435,書籍!$A$2:$A$2000,0)),"（沒建檔）"))</f>
        <v/>
      </c>
      <c r="F1435" s="9" t="str">
        <f aca="false">IF($A1435="","",IFERROR(INDEX(會員!$B$2:$B$2000,MATCH($A1435,會員!$A$2:$A$2000,0)),"（沒建檔）"))</f>
        <v/>
      </c>
      <c r="G1435" s="10" t="str">
        <f aca="false">IF($B1435="","",IF($D1435="","未還","已還"))</f>
        <v/>
      </c>
    </row>
    <row r="1436" customFormat="false" ht="15" hidden="false" customHeight="false" outlineLevel="0" collapsed="false">
      <c r="E1436" s="9" t="str">
        <f aca="false">IF($B1436="","",IFERROR(INDEX(書籍!$B$2:$B$2000,MATCH($B1436,書籍!$A$2:$A$2000,0)),"（沒建檔）"))</f>
        <v/>
      </c>
      <c r="F1436" s="9" t="str">
        <f aca="false">IF($A1436="","",IFERROR(INDEX(會員!$B$2:$B$2000,MATCH($A1436,會員!$A$2:$A$2000,0)),"（沒建檔）"))</f>
        <v/>
      </c>
      <c r="G1436" s="10" t="str">
        <f aca="false">IF($B1436="","",IF($D1436="","未還","已還"))</f>
        <v/>
      </c>
    </row>
    <row r="1437" customFormat="false" ht="15" hidden="false" customHeight="false" outlineLevel="0" collapsed="false">
      <c r="E1437" s="9" t="str">
        <f aca="false">IF($B1437="","",IFERROR(INDEX(書籍!$B$2:$B$2000,MATCH($B1437,書籍!$A$2:$A$2000,0)),"（沒建檔）"))</f>
        <v/>
      </c>
      <c r="F1437" s="9" t="str">
        <f aca="false">IF($A1437="","",IFERROR(INDEX(會員!$B$2:$B$2000,MATCH($A1437,會員!$A$2:$A$2000,0)),"（沒建檔）"))</f>
        <v/>
      </c>
      <c r="G1437" s="10" t="str">
        <f aca="false">IF($B1437="","",IF($D1437="","未還","已還"))</f>
        <v/>
      </c>
    </row>
    <row r="1438" customFormat="false" ht="15" hidden="false" customHeight="false" outlineLevel="0" collapsed="false">
      <c r="E1438" s="9" t="str">
        <f aca="false">IF($B1438="","",IFERROR(INDEX(書籍!$B$2:$B$2000,MATCH($B1438,書籍!$A$2:$A$2000,0)),"（沒建檔）"))</f>
        <v/>
      </c>
      <c r="F1438" s="9" t="str">
        <f aca="false">IF($A1438="","",IFERROR(INDEX(會員!$B$2:$B$2000,MATCH($A1438,會員!$A$2:$A$2000,0)),"（沒建檔）"))</f>
        <v/>
      </c>
      <c r="G1438" s="10" t="str">
        <f aca="false">IF($B1438="","",IF($D1438="","未還","已還"))</f>
        <v/>
      </c>
    </row>
    <row r="1439" customFormat="false" ht="15" hidden="false" customHeight="false" outlineLevel="0" collapsed="false">
      <c r="E1439" s="9" t="str">
        <f aca="false">IF($B1439="","",IFERROR(INDEX(書籍!$B$2:$B$2000,MATCH($B1439,書籍!$A$2:$A$2000,0)),"（沒建檔）"))</f>
        <v/>
      </c>
      <c r="F1439" s="9" t="str">
        <f aca="false">IF($A1439="","",IFERROR(INDEX(會員!$B$2:$B$2000,MATCH($A1439,會員!$A$2:$A$2000,0)),"（沒建檔）"))</f>
        <v/>
      </c>
      <c r="G1439" s="10" t="str">
        <f aca="false">IF($B1439="","",IF($D1439="","未還","已還"))</f>
        <v/>
      </c>
    </row>
    <row r="1440" customFormat="false" ht="15" hidden="false" customHeight="false" outlineLevel="0" collapsed="false">
      <c r="E1440" s="9" t="str">
        <f aca="false">IF($B1440="","",IFERROR(INDEX(書籍!$B$2:$B$2000,MATCH($B1440,書籍!$A$2:$A$2000,0)),"（沒建檔）"))</f>
        <v/>
      </c>
      <c r="F1440" s="9" t="str">
        <f aca="false">IF($A1440="","",IFERROR(INDEX(會員!$B$2:$B$2000,MATCH($A1440,會員!$A$2:$A$2000,0)),"（沒建檔）"))</f>
        <v/>
      </c>
      <c r="G1440" s="10" t="str">
        <f aca="false">IF($B1440="","",IF($D1440="","未還","已還"))</f>
        <v/>
      </c>
    </row>
    <row r="1441" customFormat="false" ht="15" hidden="false" customHeight="false" outlineLevel="0" collapsed="false">
      <c r="E1441" s="9" t="str">
        <f aca="false">IF($B1441="","",IFERROR(INDEX(書籍!$B$2:$B$2000,MATCH($B1441,書籍!$A$2:$A$2000,0)),"（沒建檔）"))</f>
        <v/>
      </c>
      <c r="F1441" s="9" t="str">
        <f aca="false">IF($A1441="","",IFERROR(INDEX(會員!$B$2:$B$2000,MATCH($A1441,會員!$A$2:$A$2000,0)),"（沒建檔）"))</f>
        <v/>
      </c>
      <c r="G1441" s="10" t="str">
        <f aca="false">IF($B1441="","",IF($D1441="","未還","已還"))</f>
        <v/>
      </c>
    </row>
    <row r="1442" customFormat="false" ht="15" hidden="false" customHeight="false" outlineLevel="0" collapsed="false">
      <c r="E1442" s="9" t="str">
        <f aca="false">IF($B1442="","",IFERROR(INDEX(書籍!$B$2:$B$2000,MATCH($B1442,書籍!$A$2:$A$2000,0)),"（沒建檔）"))</f>
        <v/>
      </c>
      <c r="F1442" s="9" t="str">
        <f aca="false">IF($A1442="","",IFERROR(INDEX(會員!$B$2:$B$2000,MATCH($A1442,會員!$A$2:$A$2000,0)),"（沒建檔）"))</f>
        <v/>
      </c>
      <c r="G1442" s="10" t="str">
        <f aca="false">IF($B1442="","",IF($D1442="","未還","已還"))</f>
        <v/>
      </c>
    </row>
    <row r="1443" customFormat="false" ht="15" hidden="false" customHeight="false" outlineLevel="0" collapsed="false">
      <c r="E1443" s="9" t="str">
        <f aca="false">IF($B1443="","",IFERROR(INDEX(書籍!$B$2:$B$2000,MATCH($B1443,書籍!$A$2:$A$2000,0)),"（沒建檔）"))</f>
        <v/>
      </c>
      <c r="F1443" s="9" t="str">
        <f aca="false">IF($A1443="","",IFERROR(INDEX(會員!$B$2:$B$2000,MATCH($A1443,會員!$A$2:$A$2000,0)),"（沒建檔）"))</f>
        <v/>
      </c>
      <c r="G1443" s="10" t="str">
        <f aca="false">IF($B1443="","",IF($D1443="","未還","已還"))</f>
        <v/>
      </c>
    </row>
    <row r="1444" customFormat="false" ht="15" hidden="false" customHeight="false" outlineLevel="0" collapsed="false">
      <c r="E1444" s="9" t="str">
        <f aca="false">IF($B1444="","",IFERROR(INDEX(書籍!$B$2:$B$2000,MATCH($B1444,書籍!$A$2:$A$2000,0)),"（沒建檔）"))</f>
        <v/>
      </c>
      <c r="F1444" s="9" t="str">
        <f aca="false">IF($A1444="","",IFERROR(INDEX(會員!$B$2:$B$2000,MATCH($A1444,會員!$A$2:$A$2000,0)),"（沒建檔）"))</f>
        <v/>
      </c>
      <c r="G1444" s="10" t="str">
        <f aca="false">IF($B1444="","",IF($D1444="","未還","已還"))</f>
        <v/>
      </c>
    </row>
    <row r="1445" customFormat="false" ht="15" hidden="false" customHeight="false" outlineLevel="0" collapsed="false">
      <c r="E1445" s="9" t="str">
        <f aca="false">IF($B1445="","",IFERROR(INDEX(書籍!$B$2:$B$2000,MATCH($B1445,書籍!$A$2:$A$2000,0)),"（沒建檔）"))</f>
        <v/>
      </c>
      <c r="F1445" s="9" t="str">
        <f aca="false">IF($A1445="","",IFERROR(INDEX(會員!$B$2:$B$2000,MATCH($A1445,會員!$A$2:$A$2000,0)),"（沒建檔）"))</f>
        <v/>
      </c>
      <c r="G1445" s="10" t="str">
        <f aca="false">IF($B1445="","",IF($D1445="","未還","已還"))</f>
        <v/>
      </c>
    </row>
    <row r="1446" customFormat="false" ht="15" hidden="false" customHeight="false" outlineLevel="0" collapsed="false">
      <c r="E1446" s="9" t="str">
        <f aca="false">IF($B1446="","",IFERROR(INDEX(書籍!$B$2:$B$2000,MATCH($B1446,書籍!$A$2:$A$2000,0)),"（沒建檔）"))</f>
        <v/>
      </c>
      <c r="F1446" s="9" t="str">
        <f aca="false">IF($A1446="","",IFERROR(INDEX(會員!$B$2:$B$2000,MATCH($A1446,會員!$A$2:$A$2000,0)),"（沒建檔）"))</f>
        <v/>
      </c>
      <c r="G1446" s="10" t="str">
        <f aca="false">IF($B1446="","",IF($D1446="","未還","已還"))</f>
        <v/>
      </c>
    </row>
    <row r="1447" customFormat="false" ht="15" hidden="false" customHeight="false" outlineLevel="0" collapsed="false">
      <c r="E1447" s="9" t="str">
        <f aca="false">IF($B1447="","",IFERROR(INDEX(書籍!$B$2:$B$2000,MATCH($B1447,書籍!$A$2:$A$2000,0)),"（沒建檔）"))</f>
        <v/>
      </c>
      <c r="F1447" s="9" t="str">
        <f aca="false">IF($A1447="","",IFERROR(INDEX(會員!$B$2:$B$2000,MATCH($A1447,會員!$A$2:$A$2000,0)),"（沒建檔）"))</f>
        <v/>
      </c>
      <c r="G1447" s="10" t="str">
        <f aca="false">IF($B1447="","",IF($D1447="","未還","已還"))</f>
        <v/>
      </c>
    </row>
    <row r="1448" customFormat="false" ht="15" hidden="false" customHeight="false" outlineLevel="0" collapsed="false">
      <c r="E1448" s="9" t="str">
        <f aca="false">IF($B1448="","",IFERROR(INDEX(書籍!$B$2:$B$2000,MATCH($B1448,書籍!$A$2:$A$2000,0)),"（沒建檔）"))</f>
        <v/>
      </c>
      <c r="F1448" s="9" t="str">
        <f aca="false">IF($A1448="","",IFERROR(INDEX(會員!$B$2:$B$2000,MATCH($A1448,會員!$A$2:$A$2000,0)),"（沒建檔）"))</f>
        <v/>
      </c>
      <c r="G1448" s="10" t="str">
        <f aca="false">IF($B1448="","",IF($D1448="","未還","已還"))</f>
        <v/>
      </c>
    </row>
    <row r="1449" customFormat="false" ht="15" hidden="false" customHeight="false" outlineLevel="0" collapsed="false">
      <c r="E1449" s="9" t="str">
        <f aca="false">IF($B1449="","",IFERROR(INDEX(書籍!$B$2:$B$2000,MATCH($B1449,書籍!$A$2:$A$2000,0)),"（沒建檔）"))</f>
        <v/>
      </c>
      <c r="F1449" s="9" t="str">
        <f aca="false">IF($A1449="","",IFERROR(INDEX(會員!$B$2:$B$2000,MATCH($A1449,會員!$A$2:$A$2000,0)),"（沒建檔）"))</f>
        <v/>
      </c>
      <c r="G1449" s="10" t="str">
        <f aca="false">IF($B1449="","",IF($D1449="","未還","已還"))</f>
        <v/>
      </c>
    </row>
    <row r="1450" customFormat="false" ht="15" hidden="false" customHeight="false" outlineLevel="0" collapsed="false">
      <c r="E1450" s="9" t="str">
        <f aca="false">IF($B1450="","",IFERROR(INDEX(書籍!$B$2:$B$2000,MATCH($B1450,書籍!$A$2:$A$2000,0)),"（沒建檔）"))</f>
        <v/>
      </c>
      <c r="F1450" s="9" t="str">
        <f aca="false">IF($A1450="","",IFERROR(INDEX(會員!$B$2:$B$2000,MATCH($A1450,會員!$A$2:$A$2000,0)),"（沒建檔）"))</f>
        <v/>
      </c>
      <c r="G1450" s="10" t="str">
        <f aca="false">IF($B1450="","",IF($D1450="","未還","已還"))</f>
        <v/>
      </c>
    </row>
    <row r="1451" customFormat="false" ht="15" hidden="false" customHeight="false" outlineLevel="0" collapsed="false">
      <c r="E1451" s="9" t="str">
        <f aca="false">IF($B1451="","",IFERROR(INDEX(書籍!$B$2:$B$2000,MATCH($B1451,書籍!$A$2:$A$2000,0)),"（沒建檔）"))</f>
        <v/>
      </c>
      <c r="F1451" s="9" t="str">
        <f aca="false">IF($A1451="","",IFERROR(INDEX(會員!$B$2:$B$2000,MATCH($A1451,會員!$A$2:$A$2000,0)),"（沒建檔）"))</f>
        <v/>
      </c>
      <c r="G1451" s="10" t="str">
        <f aca="false">IF($B1451="","",IF($D1451="","未還","已還"))</f>
        <v/>
      </c>
    </row>
    <row r="1452" customFormat="false" ht="15" hidden="false" customHeight="false" outlineLevel="0" collapsed="false">
      <c r="E1452" s="9" t="str">
        <f aca="false">IF($B1452="","",IFERROR(INDEX(書籍!$B$2:$B$2000,MATCH($B1452,書籍!$A$2:$A$2000,0)),"（沒建檔）"))</f>
        <v/>
      </c>
      <c r="F1452" s="9" t="str">
        <f aca="false">IF($A1452="","",IFERROR(INDEX(會員!$B$2:$B$2000,MATCH($A1452,會員!$A$2:$A$2000,0)),"（沒建檔）"))</f>
        <v/>
      </c>
      <c r="G1452" s="10" t="str">
        <f aca="false">IF($B1452="","",IF($D1452="","未還","已還"))</f>
        <v/>
      </c>
    </row>
    <row r="1453" customFormat="false" ht="15" hidden="false" customHeight="false" outlineLevel="0" collapsed="false">
      <c r="E1453" s="9" t="str">
        <f aca="false">IF($B1453="","",IFERROR(INDEX(書籍!$B$2:$B$2000,MATCH($B1453,書籍!$A$2:$A$2000,0)),"（沒建檔）"))</f>
        <v/>
      </c>
      <c r="F1453" s="9" t="str">
        <f aca="false">IF($A1453="","",IFERROR(INDEX(會員!$B$2:$B$2000,MATCH($A1453,會員!$A$2:$A$2000,0)),"（沒建檔）"))</f>
        <v/>
      </c>
      <c r="G1453" s="10" t="str">
        <f aca="false">IF($B1453="","",IF($D1453="","未還","已還"))</f>
        <v/>
      </c>
    </row>
    <row r="1454" customFormat="false" ht="15" hidden="false" customHeight="false" outlineLevel="0" collapsed="false">
      <c r="E1454" s="9" t="str">
        <f aca="false">IF($B1454="","",IFERROR(INDEX(書籍!$B$2:$B$2000,MATCH($B1454,書籍!$A$2:$A$2000,0)),"（沒建檔）"))</f>
        <v/>
      </c>
      <c r="F1454" s="9" t="str">
        <f aca="false">IF($A1454="","",IFERROR(INDEX(會員!$B$2:$B$2000,MATCH($A1454,會員!$A$2:$A$2000,0)),"（沒建檔）"))</f>
        <v/>
      </c>
      <c r="G1454" s="10" t="str">
        <f aca="false">IF($B1454="","",IF($D1454="","未還","已還"))</f>
        <v/>
      </c>
    </row>
    <row r="1455" customFormat="false" ht="15" hidden="false" customHeight="false" outlineLevel="0" collapsed="false">
      <c r="E1455" s="9" t="str">
        <f aca="false">IF($B1455="","",IFERROR(INDEX(書籍!$B$2:$B$2000,MATCH($B1455,書籍!$A$2:$A$2000,0)),"（沒建檔）"))</f>
        <v/>
      </c>
      <c r="F1455" s="9" t="str">
        <f aca="false">IF($A1455="","",IFERROR(INDEX(會員!$B$2:$B$2000,MATCH($A1455,會員!$A$2:$A$2000,0)),"（沒建檔）"))</f>
        <v/>
      </c>
      <c r="G1455" s="10" t="str">
        <f aca="false">IF($B1455="","",IF($D1455="","未還","已還"))</f>
        <v/>
      </c>
    </row>
    <row r="1456" customFormat="false" ht="15" hidden="false" customHeight="false" outlineLevel="0" collapsed="false">
      <c r="E1456" s="9" t="str">
        <f aca="false">IF($B1456="","",IFERROR(INDEX(書籍!$B$2:$B$2000,MATCH($B1456,書籍!$A$2:$A$2000,0)),"（沒建檔）"))</f>
        <v/>
      </c>
      <c r="F1456" s="9" t="str">
        <f aca="false">IF($A1456="","",IFERROR(INDEX(會員!$B$2:$B$2000,MATCH($A1456,會員!$A$2:$A$2000,0)),"（沒建檔）"))</f>
        <v/>
      </c>
      <c r="G1456" s="10" t="str">
        <f aca="false">IF($B1456="","",IF($D1456="","未還","已還"))</f>
        <v/>
      </c>
    </row>
    <row r="1457" customFormat="false" ht="15" hidden="false" customHeight="false" outlineLevel="0" collapsed="false">
      <c r="E1457" s="9" t="str">
        <f aca="false">IF($B1457="","",IFERROR(INDEX(書籍!$B$2:$B$2000,MATCH($B1457,書籍!$A$2:$A$2000,0)),"（沒建檔）"))</f>
        <v/>
      </c>
      <c r="F1457" s="9" t="str">
        <f aca="false">IF($A1457="","",IFERROR(INDEX(會員!$B$2:$B$2000,MATCH($A1457,會員!$A$2:$A$2000,0)),"（沒建檔）"))</f>
        <v/>
      </c>
      <c r="G1457" s="10" t="str">
        <f aca="false">IF($B1457="","",IF($D1457="","未還","已還"))</f>
        <v/>
      </c>
    </row>
    <row r="1458" customFormat="false" ht="15" hidden="false" customHeight="false" outlineLevel="0" collapsed="false">
      <c r="E1458" s="9" t="str">
        <f aca="false">IF($B1458="","",IFERROR(INDEX(書籍!$B$2:$B$2000,MATCH($B1458,書籍!$A$2:$A$2000,0)),"（沒建檔）"))</f>
        <v/>
      </c>
      <c r="F1458" s="9" t="str">
        <f aca="false">IF($A1458="","",IFERROR(INDEX(會員!$B$2:$B$2000,MATCH($A1458,會員!$A$2:$A$2000,0)),"（沒建檔）"))</f>
        <v/>
      </c>
      <c r="G1458" s="10" t="str">
        <f aca="false">IF($B1458="","",IF($D1458="","未還","已還"))</f>
        <v/>
      </c>
    </row>
    <row r="1459" customFormat="false" ht="15" hidden="false" customHeight="false" outlineLevel="0" collapsed="false">
      <c r="E1459" s="9" t="str">
        <f aca="false">IF($B1459="","",IFERROR(INDEX(書籍!$B$2:$B$2000,MATCH($B1459,書籍!$A$2:$A$2000,0)),"（沒建檔）"))</f>
        <v/>
      </c>
      <c r="F1459" s="9" t="str">
        <f aca="false">IF($A1459="","",IFERROR(INDEX(會員!$B$2:$B$2000,MATCH($A1459,會員!$A$2:$A$2000,0)),"（沒建檔）"))</f>
        <v/>
      </c>
      <c r="G1459" s="10" t="str">
        <f aca="false">IF($B1459="","",IF($D1459="","未還","已還"))</f>
        <v/>
      </c>
    </row>
    <row r="1460" customFormat="false" ht="15" hidden="false" customHeight="false" outlineLevel="0" collapsed="false">
      <c r="E1460" s="9" t="str">
        <f aca="false">IF($B1460="","",IFERROR(INDEX(書籍!$B$2:$B$2000,MATCH($B1460,書籍!$A$2:$A$2000,0)),"（沒建檔）"))</f>
        <v/>
      </c>
      <c r="F1460" s="9" t="str">
        <f aca="false">IF($A1460="","",IFERROR(INDEX(會員!$B$2:$B$2000,MATCH($A1460,會員!$A$2:$A$2000,0)),"（沒建檔）"))</f>
        <v/>
      </c>
      <c r="G1460" s="10" t="str">
        <f aca="false">IF($B1460="","",IF($D1460="","未還","已還"))</f>
        <v/>
      </c>
    </row>
    <row r="1461" customFormat="false" ht="15" hidden="false" customHeight="false" outlineLevel="0" collapsed="false">
      <c r="E1461" s="9" t="str">
        <f aca="false">IF($B1461="","",IFERROR(INDEX(書籍!$B$2:$B$2000,MATCH($B1461,書籍!$A$2:$A$2000,0)),"（沒建檔）"))</f>
        <v/>
      </c>
      <c r="F1461" s="9" t="str">
        <f aca="false">IF($A1461="","",IFERROR(INDEX(會員!$B$2:$B$2000,MATCH($A1461,會員!$A$2:$A$2000,0)),"（沒建檔）"))</f>
        <v/>
      </c>
      <c r="G1461" s="10" t="str">
        <f aca="false">IF($B1461="","",IF($D1461="","未還","已還"))</f>
        <v/>
      </c>
    </row>
    <row r="1462" customFormat="false" ht="15" hidden="false" customHeight="false" outlineLevel="0" collapsed="false">
      <c r="E1462" s="9" t="str">
        <f aca="false">IF($B1462="","",IFERROR(INDEX(書籍!$B$2:$B$2000,MATCH($B1462,書籍!$A$2:$A$2000,0)),"（沒建檔）"))</f>
        <v/>
      </c>
      <c r="F1462" s="9" t="str">
        <f aca="false">IF($A1462="","",IFERROR(INDEX(會員!$B$2:$B$2000,MATCH($A1462,會員!$A$2:$A$2000,0)),"（沒建檔）"))</f>
        <v/>
      </c>
      <c r="G1462" s="10" t="str">
        <f aca="false">IF($B1462="","",IF($D1462="","未還","已還"))</f>
        <v/>
      </c>
    </row>
    <row r="1463" customFormat="false" ht="15" hidden="false" customHeight="false" outlineLevel="0" collapsed="false">
      <c r="E1463" s="9" t="str">
        <f aca="false">IF($B1463="","",IFERROR(INDEX(書籍!$B$2:$B$2000,MATCH($B1463,書籍!$A$2:$A$2000,0)),"（沒建檔）"))</f>
        <v/>
      </c>
      <c r="F1463" s="9" t="str">
        <f aca="false">IF($A1463="","",IFERROR(INDEX(會員!$B$2:$B$2000,MATCH($A1463,會員!$A$2:$A$2000,0)),"（沒建檔）"))</f>
        <v/>
      </c>
      <c r="G1463" s="10" t="str">
        <f aca="false">IF($B1463="","",IF($D1463="","未還","已還"))</f>
        <v/>
      </c>
    </row>
    <row r="1464" customFormat="false" ht="15" hidden="false" customHeight="false" outlineLevel="0" collapsed="false">
      <c r="E1464" s="9" t="str">
        <f aca="false">IF($B1464="","",IFERROR(INDEX(書籍!$B$2:$B$2000,MATCH($B1464,書籍!$A$2:$A$2000,0)),"（沒建檔）"))</f>
        <v/>
      </c>
      <c r="F1464" s="9" t="str">
        <f aca="false">IF($A1464="","",IFERROR(INDEX(會員!$B$2:$B$2000,MATCH($A1464,會員!$A$2:$A$2000,0)),"（沒建檔）"))</f>
        <v/>
      </c>
      <c r="G1464" s="10" t="str">
        <f aca="false">IF($B1464="","",IF($D1464="","未還","已還"))</f>
        <v/>
      </c>
    </row>
    <row r="1465" customFormat="false" ht="15" hidden="false" customHeight="false" outlineLevel="0" collapsed="false">
      <c r="E1465" s="9" t="str">
        <f aca="false">IF($B1465="","",IFERROR(INDEX(書籍!$B$2:$B$2000,MATCH($B1465,書籍!$A$2:$A$2000,0)),"（沒建檔）"))</f>
        <v/>
      </c>
      <c r="F1465" s="9" t="str">
        <f aca="false">IF($A1465="","",IFERROR(INDEX(會員!$B$2:$B$2000,MATCH($A1465,會員!$A$2:$A$2000,0)),"（沒建檔）"))</f>
        <v/>
      </c>
      <c r="G1465" s="10" t="str">
        <f aca="false">IF($B1465="","",IF($D1465="","未還","已還"))</f>
        <v/>
      </c>
    </row>
    <row r="1466" customFormat="false" ht="15" hidden="false" customHeight="false" outlineLevel="0" collapsed="false">
      <c r="E1466" s="9" t="str">
        <f aca="false">IF($B1466="","",IFERROR(INDEX(書籍!$B$2:$B$2000,MATCH($B1466,書籍!$A$2:$A$2000,0)),"（沒建檔）"))</f>
        <v/>
      </c>
      <c r="F1466" s="9" t="str">
        <f aca="false">IF($A1466="","",IFERROR(INDEX(會員!$B$2:$B$2000,MATCH($A1466,會員!$A$2:$A$2000,0)),"（沒建檔）"))</f>
        <v/>
      </c>
      <c r="G1466" s="10" t="str">
        <f aca="false">IF($B1466="","",IF($D1466="","未還","已還"))</f>
        <v/>
      </c>
    </row>
    <row r="1467" customFormat="false" ht="15" hidden="false" customHeight="false" outlineLevel="0" collapsed="false">
      <c r="E1467" s="9" t="str">
        <f aca="false">IF($B1467="","",IFERROR(INDEX(書籍!$B$2:$B$2000,MATCH($B1467,書籍!$A$2:$A$2000,0)),"（沒建檔）"))</f>
        <v/>
      </c>
      <c r="F1467" s="9" t="str">
        <f aca="false">IF($A1467="","",IFERROR(INDEX(會員!$B$2:$B$2000,MATCH($A1467,會員!$A$2:$A$2000,0)),"（沒建檔）"))</f>
        <v/>
      </c>
      <c r="G1467" s="10" t="str">
        <f aca="false">IF($B1467="","",IF($D1467="","未還","已還"))</f>
        <v/>
      </c>
    </row>
    <row r="1468" customFormat="false" ht="15" hidden="false" customHeight="false" outlineLevel="0" collapsed="false">
      <c r="E1468" s="9" t="str">
        <f aca="false">IF($B1468="","",IFERROR(INDEX(書籍!$B$2:$B$2000,MATCH($B1468,書籍!$A$2:$A$2000,0)),"（沒建檔）"))</f>
        <v/>
      </c>
      <c r="F1468" s="9" t="str">
        <f aca="false">IF($A1468="","",IFERROR(INDEX(會員!$B$2:$B$2000,MATCH($A1468,會員!$A$2:$A$2000,0)),"（沒建檔）"))</f>
        <v/>
      </c>
      <c r="G1468" s="10" t="str">
        <f aca="false">IF($B1468="","",IF($D1468="","未還","已還"))</f>
        <v/>
      </c>
    </row>
    <row r="1469" customFormat="false" ht="15" hidden="false" customHeight="false" outlineLevel="0" collapsed="false">
      <c r="E1469" s="9" t="str">
        <f aca="false">IF($B1469="","",IFERROR(INDEX(書籍!$B$2:$B$2000,MATCH($B1469,書籍!$A$2:$A$2000,0)),"（沒建檔）"))</f>
        <v/>
      </c>
      <c r="F1469" s="9" t="str">
        <f aca="false">IF($A1469="","",IFERROR(INDEX(會員!$B$2:$B$2000,MATCH($A1469,會員!$A$2:$A$2000,0)),"（沒建檔）"))</f>
        <v/>
      </c>
      <c r="G1469" s="10" t="str">
        <f aca="false">IF($B1469="","",IF($D1469="","未還","已還"))</f>
        <v/>
      </c>
    </row>
    <row r="1470" customFormat="false" ht="15" hidden="false" customHeight="false" outlineLevel="0" collapsed="false">
      <c r="E1470" s="9" t="str">
        <f aca="false">IF($B1470="","",IFERROR(INDEX(書籍!$B$2:$B$2000,MATCH($B1470,書籍!$A$2:$A$2000,0)),"（沒建檔）"))</f>
        <v/>
      </c>
      <c r="F1470" s="9" t="str">
        <f aca="false">IF($A1470="","",IFERROR(INDEX(會員!$B$2:$B$2000,MATCH($A1470,會員!$A$2:$A$2000,0)),"（沒建檔）"))</f>
        <v/>
      </c>
      <c r="G1470" s="10" t="str">
        <f aca="false">IF($B1470="","",IF($D1470="","未還","已還"))</f>
        <v/>
      </c>
    </row>
    <row r="1471" customFormat="false" ht="15" hidden="false" customHeight="false" outlineLevel="0" collapsed="false">
      <c r="E1471" s="9" t="str">
        <f aca="false">IF($B1471="","",IFERROR(INDEX(書籍!$B$2:$B$2000,MATCH($B1471,書籍!$A$2:$A$2000,0)),"（沒建檔）"))</f>
        <v/>
      </c>
      <c r="F1471" s="9" t="str">
        <f aca="false">IF($A1471="","",IFERROR(INDEX(會員!$B$2:$B$2000,MATCH($A1471,會員!$A$2:$A$2000,0)),"（沒建檔）"))</f>
        <v/>
      </c>
      <c r="G1471" s="10" t="str">
        <f aca="false">IF($B1471="","",IF($D1471="","未還","已還"))</f>
        <v/>
      </c>
    </row>
    <row r="1472" customFormat="false" ht="15" hidden="false" customHeight="false" outlineLevel="0" collapsed="false">
      <c r="E1472" s="9" t="str">
        <f aca="false">IF($B1472="","",IFERROR(INDEX(書籍!$B$2:$B$2000,MATCH($B1472,書籍!$A$2:$A$2000,0)),"（沒建檔）"))</f>
        <v/>
      </c>
      <c r="F1472" s="9" t="str">
        <f aca="false">IF($A1472="","",IFERROR(INDEX(會員!$B$2:$B$2000,MATCH($A1472,會員!$A$2:$A$2000,0)),"（沒建檔）"))</f>
        <v/>
      </c>
      <c r="G1472" s="10" t="str">
        <f aca="false">IF($B1472="","",IF($D1472="","未還","已還"))</f>
        <v/>
      </c>
    </row>
    <row r="1473" customFormat="false" ht="15" hidden="false" customHeight="false" outlineLevel="0" collapsed="false">
      <c r="E1473" s="9" t="str">
        <f aca="false">IF($B1473="","",IFERROR(INDEX(書籍!$B$2:$B$2000,MATCH($B1473,書籍!$A$2:$A$2000,0)),"（沒建檔）"))</f>
        <v/>
      </c>
      <c r="F1473" s="9" t="str">
        <f aca="false">IF($A1473="","",IFERROR(INDEX(會員!$B$2:$B$2000,MATCH($A1473,會員!$A$2:$A$2000,0)),"（沒建檔）"))</f>
        <v/>
      </c>
      <c r="G1473" s="10" t="str">
        <f aca="false">IF($B1473="","",IF($D1473="","未還","已還"))</f>
        <v/>
      </c>
    </row>
    <row r="1474" customFormat="false" ht="15" hidden="false" customHeight="false" outlineLevel="0" collapsed="false">
      <c r="E1474" s="9" t="str">
        <f aca="false">IF($B1474="","",IFERROR(INDEX(書籍!$B$2:$B$2000,MATCH($B1474,書籍!$A$2:$A$2000,0)),"（沒建檔）"))</f>
        <v/>
      </c>
      <c r="F1474" s="9" t="str">
        <f aca="false">IF($A1474="","",IFERROR(INDEX(會員!$B$2:$B$2000,MATCH($A1474,會員!$A$2:$A$2000,0)),"（沒建檔）"))</f>
        <v/>
      </c>
      <c r="G1474" s="10" t="str">
        <f aca="false">IF($B1474="","",IF($D1474="","未還","已還"))</f>
        <v/>
      </c>
    </row>
    <row r="1475" customFormat="false" ht="15" hidden="false" customHeight="false" outlineLevel="0" collapsed="false">
      <c r="E1475" s="9" t="str">
        <f aca="false">IF($B1475="","",IFERROR(INDEX(書籍!$B$2:$B$2000,MATCH($B1475,書籍!$A$2:$A$2000,0)),"（沒建檔）"))</f>
        <v/>
      </c>
      <c r="F1475" s="9" t="str">
        <f aca="false">IF($A1475="","",IFERROR(INDEX(會員!$B$2:$B$2000,MATCH($A1475,會員!$A$2:$A$2000,0)),"（沒建檔）"))</f>
        <v/>
      </c>
      <c r="G1475" s="10" t="str">
        <f aca="false">IF($B1475="","",IF($D1475="","未還","已還"))</f>
        <v/>
      </c>
    </row>
    <row r="1476" customFormat="false" ht="15" hidden="false" customHeight="false" outlineLevel="0" collapsed="false">
      <c r="E1476" s="9" t="str">
        <f aca="false">IF($B1476="","",IFERROR(INDEX(書籍!$B$2:$B$2000,MATCH($B1476,書籍!$A$2:$A$2000,0)),"（沒建檔）"))</f>
        <v/>
      </c>
      <c r="F1476" s="9" t="str">
        <f aca="false">IF($A1476="","",IFERROR(INDEX(會員!$B$2:$B$2000,MATCH($A1476,會員!$A$2:$A$2000,0)),"（沒建檔）"))</f>
        <v/>
      </c>
      <c r="G1476" s="10" t="str">
        <f aca="false">IF($B1476="","",IF($D1476="","未還","已還"))</f>
        <v/>
      </c>
    </row>
    <row r="1477" customFormat="false" ht="15" hidden="false" customHeight="false" outlineLevel="0" collapsed="false">
      <c r="E1477" s="9" t="str">
        <f aca="false">IF($B1477="","",IFERROR(INDEX(書籍!$B$2:$B$2000,MATCH($B1477,書籍!$A$2:$A$2000,0)),"（沒建檔）"))</f>
        <v/>
      </c>
      <c r="F1477" s="9" t="str">
        <f aca="false">IF($A1477="","",IFERROR(INDEX(會員!$B$2:$B$2000,MATCH($A1477,會員!$A$2:$A$2000,0)),"（沒建檔）"))</f>
        <v/>
      </c>
      <c r="G1477" s="10" t="str">
        <f aca="false">IF($B1477="","",IF($D1477="","未還","已還"))</f>
        <v/>
      </c>
    </row>
    <row r="1478" customFormat="false" ht="15" hidden="false" customHeight="false" outlineLevel="0" collapsed="false">
      <c r="E1478" s="9" t="str">
        <f aca="false">IF($B1478="","",IFERROR(INDEX(書籍!$B$2:$B$2000,MATCH($B1478,書籍!$A$2:$A$2000,0)),"（沒建檔）"))</f>
        <v/>
      </c>
      <c r="F1478" s="9" t="str">
        <f aca="false">IF($A1478="","",IFERROR(INDEX(會員!$B$2:$B$2000,MATCH($A1478,會員!$A$2:$A$2000,0)),"（沒建檔）"))</f>
        <v/>
      </c>
      <c r="G1478" s="10" t="str">
        <f aca="false">IF($B1478="","",IF($D1478="","未還","已還"))</f>
        <v/>
      </c>
    </row>
    <row r="1479" customFormat="false" ht="15" hidden="false" customHeight="false" outlineLevel="0" collapsed="false">
      <c r="E1479" s="9" t="str">
        <f aca="false">IF($B1479="","",IFERROR(INDEX(書籍!$B$2:$B$2000,MATCH($B1479,書籍!$A$2:$A$2000,0)),"（沒建檔）"))</f>
        <v/>
      </c>
      <c r="F1479" s="9" t="str">
        <f aca="false">IF($A1479="","",IFERROR(INDEX(會員!$B$2:$B$2000,MATCH($A1479,會員!$A$2:$A$2000,0)),"（沒建檔）"))</f>
        <v/>
      </c>
      <c r="G1479" s="10" t="str">
        <f aca="false">IF($B1479="","",IF($D1479="","未還","已還"))</f>
        <v/>
      </c>
    </row>
    <row r="1480" customFormat="false" ht="15" hidden="false" customHeight="false" outlineLevel="0" collapsed="false">
      <c r="E1480" s="9" t="str">
        <f aca="false">IF($B1480="","",IFERROR(INDEX(書籍!$B$2:$B$2000,MATCH($B1480,書籍!$A$2:$A$2000,0)),"（沒建檔）"))</f>
        <v/>
      </c>
      <c r="F1480" s="9" t="str">
        <f aca="false">IF($A1480="","",IFERROR(INDEX(會員!$B$2:$B$2000,MATCH($A1480,會員!$A$2:$A$2000,0)),"（沒建檔）"))</f>
        <v/>
      </c>
      <c r="G1480" s="10" t="str">
        <f aca="false">IF($B1480="","",IF($D1480="","未還","已還"))</f>
        <v/>
      </c>
    </row>
    <row r="1481" customFormat="false" ht="15" hidden="false" customHeight="false" outlineLevel="0" collapsed="false">
      <c r="E1481" s="9" t="str">
        <f aca="false">IF($B1481="","",IFERROR(INDEX(書籍!$B$2:$B$2000,MATCH($B1481,書籍!$A$2:$A$2000,0)),"（沒建檔）"))</f>
        <v/>
      </c>
      <c r="F1481" s="9" t="str">
        <f aca="false">IF($A1481="","",IFERROR(INDEX(會員!$B$2:$B$2000,MATCH($A1481,會員!$A$2:$A$2000,0)),"（沒建檔）"))</f>
        <v/>
      </c>
      <c r="G1481" s="10" t="str">
        <f aca="false">IF($B1481="","",IF($D1481="","未還","已還"))</f>
        <v/>
      </c>
    </row>
    <row r="1482" customFormat="false" ht="15" hidden="false" customHeight="false" outlineLevel="0" collapsed="false">
      <c r="E1482" s="9" t="str">
        <f aca="false">IF($B1482="","",IFERROR(INDEX(書籍!$B$2:$B$2000,MATCH($B1482,書籍!$A$2:$A$2000,0)),"（沒建檔）"))</f>
        <v/>
      </c>
      <c r="F1482" s="9" t="str">
        <f aca="false">IF($A1482="","",IFERROR(INDEX(會員!$B$2:$B$2000,MATCH($A1482,會員!$A$2:$A$2000,0)),"（沒建檔）"))</f>
        <v/>
      </c>
      <c r="G1482" s="10" t="str">
        <f aca="false">IF($B1482="","",IF($D1482="","未還","已還"))</f>
        <v/>
      </c>
    </row>
    <row r="1483" customFormat="false" ht="15" hidden="false" customHeight="false" outlineLevel="0" collapsed="false">
      <c r="E1483" s="9" t="str">
        <f aca="false">IF($B1483="","",IFERROR(INDEX(書籍!$B$2:$B$2000,MATCH($B1483,書籍!$A$2:$A$2000,0)),"（沒建檔）"))</f>
        <v/>
      </c>
      <c r="F1483" s="9" t="str">
        <f aca="false">IF($A1483="","",IFERROR(INDEX(會員!$B$2:$B$2000,MATCH($A1483,會員!$A$2:$A$2000,0)),"（沒建檔）"))</f>
        <v/>
      </c>
      <c r="G1483" s="10" t="str">
        <f aca="false">IF($B1483="","",IF($D1483="","未還","已還"))</f>
        <v/>
      </c>
    </row>
    <row r="1484" customFormat="false" ht="15" hidden="false" customHeight="false" outlineLevel="0" collapsed="false">
      <c r="E1484" s="9" t="str">
        <f aca="false">IF($B1484="","",IFERROR(INDEX(書籍!$B$2:$B$2000,MATCH($B1484,書籍!$A$2:$A$2000,0)),"（沒建檔）"))</f>
        <v/>
      </c>
      <c r="F1484" s="9" t="str">
        <f aca="false">IF($A1484="","",IFERROR(INDEX(會員!$B$2:$B$2000,MATCH($A1484,會員!$A$2:$A$2000,0)),"（沒建檔）"))</f>
        <v/>
      </c>
      <c r="G1484" s="10" t="str">
        <f aca="false">IF($B1484="","",IF($D1484="","未還","已還"))</f>
        <v/>
      </c>
    </row>
    <row r="1485" customFormat="false" ht="15" hidden="false" customHeight="false" outlineLevel="0" collapsed="false">
      <c r="E1485" s="9" t="str">
        <f aca="false">IF($B1485="","",IFERROR(INDEX(書籍!$B$2:$B$2000,MATCH($B1485,書籍!$A$2:$A$2000,0)),"（沒建檔）"))</f>
        <v/>
      </c>
      <c r="F1485" s="9" t="str">
        <f aca="false">IF($A1485="","",IFERROR(INDEX(會員!$B$2:$B$2000,MATCH($A1485,會員!$A$2:$A$2000,0)),"（沒建檔）"))</f>
        <v/>
      </c>
      <c r="G1485" s="10" t="str">
        <f aca="false">IF($B1485="","",IF($D1485="","未還","已還"))</f>
        <v/>
      </c>
    </row>
    <row r="1486" customFormat="false" ht="15" hidden="false" customHeight="false" outlineLevel="0" collapsed="false">
      <c r="E1486" s="9" t="str">
        <f aca="false">IF($B1486="","",IFERROR(INDEX(書籍!$B$2:$B$2000,MATCH($B1486,書籍!$A$2:$A$2000,0)),"（沒建檔）"))</f>
        <v/>
      </c>
      <c r="F1486" s="9" t="str">
        <f aca="false">IF($A1486="","",IFERROR(INDEX(會員!$B$2:$B$2000,MATCH($A1486,會員!$A$2:$A$2000,0)),"（沒建檔）"))</f>
        <v/>
      </c>
      <c r="G1486" s="10" t="str">
        <f aca="false">IF($B1486="","",IF($D1486="","未還","已還"))</f>
        <v/>
      </c>
    </row>
    <row r="1487" customFormat="false" ht="15" hidden="false" customHeight="false" outlineLevel="0" collapsed="false">
      <c r="E1487" s="9" t="str">
        <f aca="false">IF($B1487="","",IFERROR(INDEX(書籍!$B$2:$B$2000,MATCH($B1487,書籍!$A$2:$A$2000,0)),"（沒建檔）"))</f>
        <v/>
      </c>
      <c r="F1487" s="9" t="str">
        <f aca="false">IF($A1487="","",IFERROR(INDEX(會員!$B$2:$B$2000,MATCH($A1487,會員!$A$2:$A$2000,0)),"（沒建檔）"))</f>
        <v/>
      </c>
      <c r="G1487" s="10" t="str">
        <f aca="false">IF($B1487="","",IF($D1487="","未還","已還"))</f>
        <v/>
      </c>
    </row>
    <row r="1488" customFormat="false" ht="15" hidden="false" customHeight="false" outlineLevel="0" collapsed="false">
      <c r="E1488" s="9" t="str">
        <f aca="false">IF($B1488="","",IFERROR(INDEX(書籍!$B$2:$B$2000,MATCH($B1488,書籍!$A$2:$A$2000,0)),"（沒建檔）"))</f>
        <v/>
      </c>
      <c r="F1488" s="9" t="str">
        <f aca="false">IF($A1488="","",IFERROR(INDEX(會員!$B$2:$B$2000,MATCH($A1488,會員!$A$2:$A$2000,0)),"（沒建檔）"))</f>
        <v/>
      </c>
      <c r="G1488" s="10" t="str">
        <f aca="false">IF($B1488="","",IF($D1488="","未還","已還"))</f>
        <v/>
      </c>
    </row>
    <row r="1489" customFormat="false" ht="15" hidden="false" customHeight="false" outlineLevel="0" collapsed="false">
      <c r="E1489" s="9" t="str">
        <f aca="false">IF($B1489="","",IFERROR(INDEX(書籍!$B$2:$B$2000,MATCH($B1489,書籍!$A$2:$A$2000,0)),"（沒建檔）"))</f>
        <v/>
      </c>
      <c r="F1489" s="9" t="str">
        <f aca="false">IF($A1489="","",IFERROR(INDEX(會員!$B$2:$B$2000,MATCH($A1489,會員!$A$2:$A$2000,0)),"（沒建檔）"))</f>
        <v/>
      </c>
      <c r="G1489" s="10" t="str">
        <f aca="false">IF($B1489="","",IF($D1489="","未還","已還"))</f>
        <v/>
      </c>
    </row>
    <row r="1490" customFormat="false" ht="15" hidden="false" customHeight="false" outlineLevel="0" collapsed="false">
      <c r="E1490" s="9" t="str">
        <f aca="false">IF($B1490="","",IFERROR(INDEX(書籍!$B$2:$B$2000,MATCH($B1490,書籍!$A$2:$A$2000,0)),"（沒建檔）"))</f>
        <v/>
      </c>
      <c r="F1490" s="9" t="str">
        <f aca="false">IF($A1490="","",IFERROR(INDEX(會員!$B$2:$B$2000,MATCH($A1490,會員!$A$2:$A$2000,0)),"（沒建檔）"))</f>
        <v/>
      </c>
      <c r="G1490" s="10" t="str">
        <f aca="false">IF($B1490="","",IF($D1490="","未還","已還"))</f>
        <v/>
      </c>
    </row>
    <row r="1491" customFormat="false" ht="15" hidden="false" customHeight="false" outlineLevel="0" collapsed="false">
      <c r="E1491" s="9" t="str">
        <f aca="false">IF($B1491="","",IFERROR(INDEX(書籍!$B$2:$B$2000,MATCH($B1491,書籍!$A$2:$A$2000,0)),"（沒建檔）"))</f>
        <v/>
      </c>
      <c r="F1491" s="9" t="str">
        <f aca="false">IF($A1491="","",IFERROR(INDEX(會員!$B$2:$B$2000,MATCH($A1491,會員!$A$2:$A$2000,0)),"（沒建檔）"))</f>
        <v/>
      </c>
      <c r="G1491" s="10" t="str">
        <f aca="false">IF($B1491="","",IF($D1491="","未還","已還"))</f>
        <v/>
      </c>
    </row>
    <row r="1492" customFormat="false" ht="15" hidden="false" customHeight="false" outlineLevel="0" collapsed="false">
      <c r="E1492" s="9" t="str">
        <f aca="false">IF($B1492="","",IFERROR(INDEX(書籍!$B$2:$B$2000,MATCH($B1492,書籍!$A$2:$A$2000,0)),"（沒建檔）"))</f>
        <v/>
      </c>
      <c r="F1492" s="9" t="str">
        <f aca="false">IF($A1492="","",IFERROR(INDEX(會員!$B$2:$B$2000,MATCH($A1492,會員!$A$2:$A$2000,0)),"（沒建檔）"))</f>
        <v/>
      </c>
      <c r="G1492" s="10" t="str">
        <f aca="false">IF($B1492="","",IF($D1492="","未還","已還"))</f>
        <v/>
      </c>
    </row>
    <row r="1493" customFormat="false" ht="15" hidden="false" customHeight="false" outlineLevel="0" collapsed="false">
      <c r="E1493" s="9" t="str">
        <f aca="false">IF($B1493="","",IFERROR(INDEX(書籍!$B$2:$B$2000,MATCH($B1493,書籍!$A$2:$A$2000,0)),"（沒建檔）"))</f>
        <v/>
      </c>
      <c r="F1493" s="9" t="str">
        <f aca="false">IF($A1493="","",IFERROR(INDEX(會員!$B$2:$B$2000,MATCH($A1493,會員!$A$2:$A$2000,0)),"（沒建檔）"))</f>
        <v/>
      </c>
      <c r="G1493" s="10" t="str">
        <f aca="false">IF($B1493="","",IF($D1493="","未還","已還"))</f>
        <v/>
      </c>
    </row>
    <row r="1494" customFormat="false" ht="15" hidden="false" customHeight="false" outlineLevel="0" collapsed="false">
      <c r="E1494" s="9" t="str">
        <f aca="false">IF($B1494="","",IFERROR(INDEX(書籍!$B$2:$B$2000,MATCH($B1494,書籍!$A$2:$A$2000,0)),"（沒建檔）"))</f>
        <v/>
      </c>
      <c r="F1494" s="9" t="str">
        <f aca="false">IF($A1494="","",IFERROR(INDEX(會員!$B$2:$B$2000,MATCH($A1494,會員!$A$2:$A$2000,0)),"（沒建檔）"))</f>
        <v/>
      </c>
      <c r="G1494" s="10" t="str">
        <f aca="false">IF($B1494="","",IF($D1494="","未還","已還"))</f>
        <v/>
      </c>
    </row>
    <row r="1495" customFormat="false" ht="15" hidden="false" customHeight="false" outlineLevel="0" collapsed="false">
      <c r="E1495" s="9" t="str">
        <f aca="false">IF($B1495="","",IFERROR(INDEX(書籍!$B$2:$B$2000,MATCH($B1495,書籍!$A$2:$A$2000,0)),"（沒建檔）"))</f>
        <v/>
      </c>
      <c r="F1495" s="9" t="str">
        <f aca="false">IF($A1495="","",IFERROR(INDEX(會員!$B$2:$B$2000,MATCH($A1495,會員!$A$2:$A$2000,0)),"（沒建檔）"))</f>
        <v/>
      </c>
      <c r="G1495" s="10" t="str">
        <f aca="false">IF($B1495="","",IF($D1495="","未還","已還"))</f>
        <v/>
      </c>
    </row>
    <row r="1496" customFormat="false" ht="15" hidden="false" customHeight="false" outlineLevel="0" collapsed="false">
      <c r="E1496" s="9" t="str">
        <f aca="false">IF($B1496="","",IFERROR(INDEX(書籍!$B$2:$B$2000,MATCH($B1496,書籍!$A$2:$A$2000,0)),"（沒建檔）"))</f>
        <v/>
      </c>
      <c r="F1496" s="9" t="str">
        <f aca="false">IF($A1496="","",IFERROR(INDEX(會員!$B$2:$B$2000,MATCH($A1496,會員!$A$2:$A$2000,0)),"（沒建檔）"))</f>
        <v/>
      </c>
      <c r="G1496" s="10" t="str">
        <f aca="false">IF($B1496="","",IF($D1496="","未還","已還"))</f>
        <v/>
      </c>
    </row>
    <row r="1497" customFormat="false" ht="15" hidden="false" customHeight="false" outlineLevel="0" collapsed="false">
      <c r="E1497" s="9" t="str">
        <f aca="false">IF($B1497="","",IFERROR(INDEX(書籍!$B$2:$B$2000,MATCH($B1497,書籍!$A$2:$A$2000,0)),"（沒建檔）"))</f>
        <v/>
      </c>
      <c r="F1497" s="9" t="str">
        <f aca="false">IF($A1497="","",IFERROR(INDEX(會員!$B$2:$B$2000,MATCH($A1497,會員!$A$2:$A$2000,0)),"（沒建檔）"))</f>
        <v/>
      </c>
      <c r="G1497" s="10" t="str">
        <f aca="false">IF($B1497="","",IF($D1497="","未還","已還"))</f>
        <v/>
      </c>
    </row>
    <row r="1498" customFormat="false" ht="15" hidden="false" customHeight="false" outlineLevel="0" collapsed="false">
      <c r="E1498" s="9" t="str">
        <f aca="false">IF($B1498="","",IFERROR(INDEX(書籍!$B$2:$B$2000,MATCH($B1498,書籍!$A$2:$A$2000,0)),"（沒建檔）"))</f>
        <v/>
      </c>
      <c r="F1498" s="9" t="str">
        <f aca="false">IF($A1498="","",IFERROR(INDEX(會員!$B$2:$B$2000,MATCH($A1498,會員!$A$2:$A$2000,0)),"（沒建檔）"))</f>
        <v/>
      </c>
      <c r="G1498" s="10" t="str">
        <f aca="false">IF($B1498="","",IF($D1498="","未還","已還"))</f>
        <v/>
      </c>
    </row>
    <row r="1499" customFormat="false" ht="15" hidden="false" customHeight="false" outlineLevel="0" collapsed="false">
      <c r="E1499" s="9" t="str">
        <f aca="false">IF($B1499="","",IFERROR(INDEX(書籍!$B$2:$B$2000,MATCH($B1499,書籍!$A$2:$A$2000,0)),"（沒建檔）"))</f>
        <v/>
      </c>
      <c r="F1499" s="9" t="str">
        <f aca="false">IF($A1499="","",IFERROR(INDEX(會員!$B$2:$B$2000,MATCH($A1499,會員!$A$2:$A$2000,0)),"（沒建檔）"))</f>
        <v/>
      </c>
      <c r="G1499" s="10" t="str">
        <f aca="false">IF($B1499="","",IF($D1499="","未還","已還"))</f>
        <v/>
      </c>
    </row>
    <row r="1500" customFormat="false" ht="15" hidden="false" customHeight="false" outlineLevel="0" collapsed="false">
      <c r="E1500" s="9" t="str">
        <f aca="false">IF($B1500="","",IFERROR(INDEX(書籍!$B$2:$B$2000,MATCH($B1500,書籍!$A$2:$A$2000,0)),"（沒建檔）"))</f>
        <v/>
      </c>
      <c r="F1500" s="9" t="str">
        <f aca="false">IF($A1500="","",IFERROR(INDEX(會員!$B$2:$B$2000,MATCH($A1500,會員!$A$2:$A$2000,0)),"（沒建檔）"))</f>
        <v/>
      </c>
      <c r="G1500" s="10" t="str">
        <f aca="false">IF($B1500="","",IF($D1500="","未還","已還"))</f>
        <v/>
      </c>
    </row>
    <row r="1501" customFormat="false" ht="15" hidden="false" customHeight="false" outlineLevel="0" collapsed="false">
      <c r="E1501" s="9" t="str">
        <f aca="false">IF($B1501="","",IFERROR(INDEX(書籍!$B$2:$B$2000,MATCH($B1501,書籍!$A$2:$A$2000,0)),"（沒建檔）"))</f>
        <v/>
      </c>
      <c r="F1501" s="9" t="str">
        <f aca="false">IF($A1501="","",IFERROR(INDEX(會員!$B$2:$B$2000,MATCH($A1501,會員!$A$2:$A$2000,0)),"（沒建檔）"))</f>
        <v/>
      </c>
      <c r="G1501" s="10" t="str">
        <f aca="false">IF($B1501="","",IF($D1501="","未還","已還"))</f>
        <v/>
      </c>
    </row>
    <row r="1502" customFormat="false" ht="15" hidden="false" customHeight="false" outlineLevel="0" collapsed="false">
      <c r="E1502" s="9" t="str">
        <f aca="false">IF($B1502="","",IFERROR(INDEX(書籍!$B$2:$B$2000,MATCH($B1502,書籍!$A$2:$A$2000,0)),"（沒建檔）"))</f>
        <v/>
      </c>
      <c r="F1502" s="9" t="str">
        <f aca="false">IF($A1502="","",IFERROR(INDEX(會員!$B$2:$B$2000,MATCH($A1502,會員!$A$2:$A$2000,0)),"（沒建檔）"))</f>
        <v/>
      </c>
      <c r="G1502" s="10" t="str">
        <f aca="false">IF($B1502="","",IF($D1502="","未還","已還"))</f>
        <v/>
      </c>
    </row>
    <row r="1503" customFormat="false" ht="15" hidden="false" customHeight="false" outlineLevel="0" collapsed="false">
      <c r="E1503" s="9" t="str">
        <f aca="false">IF($B1503="","",IFERROR(INDEX(書籍!$B$2:$B$2000,MATCH($B1503,書籍!$A$2:$A$2000,0)),"（沒建檔）"))</f>
        <v/>
      </c>
      <c r="F1503" s="9" t="str">
        <f aca="false">IF($A1503="","",IFERROR(INDEX(會員!$B$2:$B$2000,MATCH($A1503,會員!$A$2:$A$2000,0)),"（沒建檔）"))</f>
        <v/>
      </c>
      <c r="G1503" s="10" t="str">
        <f aca="false">IF($B1503="","",IF($D1503="","未還","已還"))</f>
        <v/>
      </c>
    </row>
    <row r="1504" customFormat="false" ht="15" hidden="false" customHeight="false" outlineLevel="0" collapsed="false">
      <c r="E1504" s="9" t="str">
        <f aca="false">IF($B1504="","",IFERROR(INDEX(書籍!$B$2:$B$2000,MATCH($B1504,書籍!$A$2:$A$2000,0)),"（沒建檔）"))</f>
        <v/>
      </c>
      <c r="F1504" s="9" t="str">
        <f aca="false">IF($A1504="","",IFERROR(INDEX(會員!$B$2:$B$2000,MATCH($A1504,會員!$A$2:$A$2000,0)),"（沒建檔）"))</f>
        <v/>
      </c>
      <c r="G1504" s="10" t="str">
        <f aca="false">IF($B1504="","",IF($D1504="","未還","已還"))</f>
        <v/>
      </c>
    </row>
    <row r="1505" customFormat="false" ht="15" hidden="false" customHeight="false" outlineLevel="0" collapsed="false">
      <c r="E1505" s="9" t="str">
        <f aca="false">IF($B1505="","",IFERROR(INDEX(書籍!$B$2:$B$2000,MATCH($B1505,書籍!$A$2:$A$2000,0)),"（沒建檔）"))</f>
        <v/>
      </c>
      <c r="F1505" s="9" t="str">
        <f aca="false">IF($A1505="","",IFERROR(INDEX(會員!$B$2:$B$2000,MATCH($A1505,會員!$A$2:$A$2000,0)),"（沒建檔）"))</f>
        <v/>
      </c>
      <c r="G1505" s="10" t="str">
        <f aca="false">IF($B1505="","",IF($D1505="","未還","已還"))</f>
        <v/>
      </c>
    </row>
    <row r="1506" customFormat="false" ht="15" hidden="false" customHeight="false" outlineLevel="0" collapsed="false">
      <c r="E1506" s="9" t="str">
        <f aca="false">IF($B1506="","",IFERROR(INDEX(書籍!$B$2:$B$2000,MATCH($B1506,書籍!$A$2:$A$2000,0)),"（沒建檔）"))</f>
        <v/>
      </c>
      <c r="F1506" s="9" t="str">
        <f aca="false">IF($A1506="","",IFERROR(INDEX(會員!$B$2:$B$2000,MATCH($A1506,會員!$A$2:$A$2000,0)),"（沒建檔）"))</f>
        <v/>
      </c>
      <c r="G1506" s="10" t="str">
        <f aca="false">IF($B1506="","",IF($D1506="","未還","已還"))</f>
        <v/>
      </c>
    </row>
    <row r="1507" customFormat="false" ht="15" hidden="false" customHeight="false" outlineLevel="0" collapsed="false">
      <c r="E1507" s="9" t="str">
        <f aca="false">IF($B1507="","",IFERROR(INDEX(書籍!$B$2:$B$2000,MATCH($B1507,書籍!$A$2:$A$2000,0)),"（沒建檔）"))</f>
        <v/>
      </c>
      <c r="F1507" s="9" t="str">
        <f aca="false">IF($A1507="","",IFERROR(INDEX(會員!$B$2:$B$2000,MATCH($A1507,會員!$A$2:$A$2000,0)),"（沒建檔）"))</f>
        <v/>
      </c>
      <c r="G1507" s="10" t="str">
        <f aca="false">IF($B1507="","",IF($D1507="","未還","已還"))</f>
        <v/>
      </c>
    </row>
    <row r="1508" customFormat="false" ht="15" hidden="false" customHeight="false" outlineLevel="0" collapsed="false">
      <c r="E1508" s="9" t="str">
        <f aca="false">IF($B1508="","",IFERROR(INDEX(書籍!$B$2:$B$2000,MATCH($B1508,書籍!$A$2:$A$2000,0)),"（沒建檔）"))</f>
        <v/>
      </c>
      <c r="F1508" s="9" t="str">
        <f aca="false">IF($A1508="","",IFERROR(INDEX(會員!$B$2:$B$2000,MATCH($A1508,會員!$A$2:$A$2000,0)),"（沒建檔）"))</f>
        <v/>
      </c>
      <c r="G1508" s="10" t="str">
        <f aca="false">IF($B1508="","",IF($D1508="","未還","已還"))</f>
        <v/>
      </c>
    </row>
    <row r="1509" customFormat="false" ht="15" hidden="false" customHeight="false" outlineLevel="0" collapsed="false">
      <c r="E1509" s="9" t="str">
        <f aca="false">IF($B1509="","",IFERROR(INDEX(書籍!$B$2:$B$2000,MATCH($B1509,書籍!$A$2:$A$2000,0)),"（沒建檔）"))</f>
        <v/>
      </c>
      <c r="F1509" s="9" t="str">
        <f aca="false">IF($A1509="","",IFERROR(INDEX(會員!$B$2:$B$2000,MATCH($A1509,會員!$A$2:$A$2000,0)),"（沒建檔）"))</f>
        <v/>
      </c>
      <c r="G1509" s="10" t="str">
        <f aca="false">IF($B1509="","",IF($D1509="","未還","已還"))</f>
        <v/>
      </c>
    </row>
    <row r="1510" customFormat="false" ht="15" hidden="false" customHeight="false" outlineLevel="0" collapsed="false">
      <c r="E1510" s="9" t="str">
        <f aca="false">IF($B1510="","",IFERROR(INDEX(書籍!$B$2:$B$2000,MATCH($B1510,書籍!$A$2:$A$2000,0)),"（沒建檔）"))</f>
        <v/>
      </c>
      <c r="F1510" s="9" t="str">
        <f aca="false">IF($A1510="","",IFERROR(INDEX(會員!$B$2:$B$2000,MATCH($A1510,會員!$A$2:$A$2000,0)),"（沒建檔）"))</f>
        <v/>
      </c>
      <c r="G1510" s="10" t="str">
        <f aca="false">IF($B1510="","",IF($D1510="","未還","已還"))</f>
        <v/>
      </c>
    </row>
    <row r="1511" customFormat="false" ht="15" hidden="false" customHeight="false" outlineLevel="0" collapsed="false">
      <c r="E1511" s="9" t="str">
        <f aca="false">IF($B1511="","",IFERROR(INDEX(書籍!$B$2:$B$2000,MATCH($B1511,書籍!$A$2:$A$2000,0)),"（沒建檔）"))</f>
        <v/>
      </c>
      <c r="F1511" s="9" t="str">
        <f aca="false">IF($A1511="","",IFERROR(INDEX(會員!$B$2:$B$2000,MATCH($A1511,會員!$A$2:$A$2000,0)),"（沒建檔）"))</f>
        <v/>
      </c>
      <c r="G1511" s="10" t="str">
        <f aca="false">IF($B1511="","",IF($D1511="","未還","已還"))</f>
        <v/>
      </c>
    </row>
    <row r="1512" customFormat="false" ht="15" hidden="false" customHeight="false" outlineLevel="0" collapsed="false">
      <c r="E1512" s="9" t="str">
        <f aca="false">IF($B1512="","",IFERROR(INDEX(書籍!$B$2:$B$2000,MATCH($B1512,書籍!$A$2:$A$2000,0)),"（沒建檔）"))</f>
        <v/>
      </c>
      <c r="F1512" s="9" t="str">
        <f aca="false">IF($A1512="","",IFERROR(INDEX(會員!$B$2:$B$2000,MATCH($A1512,會員!$A$2:$A$2000,0)),"（沒建檔）"))</f>
        <v/>
      </c>
      <c r="G1512" s="10" t="str">
        <f aca="false">IF($B1512="","",IF($D1512="","未還","已還"))</f>
        <v/>
      </c>
    </row>
    <row r="1513" customFormat="false" ht="15" hidden="false" customHeight="false" outlineLevel="0" collapsed="false">
      <c r="E1513" s="9" t="str">
        <f aca="false">IF($B1513="","",IFERROR(INDEX(書籍!$B$2:$B$2000,MATCH($B1513,書籍!$A$2:$A$2000,0)),"（沒建檔）"))</f>
        <v/>
      </c>
      <c r="F1513" s="9" t="str">
        <f aca="false">IF($A1513="","",IFERROR(INDEX(會員!$B$2:$B$2000,MATCH($A1513,會員!$A$2:$A$2000,0)),"（沒建檔）"))</f>
        <v/>
      </c>
      <c r="G1513" s="10" t="str">
        <f aca="false">IF($B1513="","",IF($D1513="","未還","已還"))</f>
        <v/>
      </c>
    </row>
    <row r="1514" customFormat="false" ht="15" hidden="false" customHeight="false" outlineLevel="0" collapsed="false">
      <c r="E1514" s="9" t="str">
        <f aca="false">IF($B1514="","",IFERROR(INDEX(書籍!$B$2:$B$2000,MATCH($B1514,書籍!$A$2:$A$2000,0)),"（沒建檔）"))</f>
        <v/>
      </c>
      <c r="F1514" s="9" t="str">
        <f aca="false">IF($A1514="","",IFERROR(INDEX(會員!$B$2:$B$2000,MATCH($A1514,會員!$A$2:$A$2000,0)),"（沒建檔）"))</f>
        <v/>
      </c>
      <c r="G1514" s="10" t="str">
        <f aca="false">IF($B1514="","",IF($D1514="","未還","已還"))</f>
        <v/>
      </c>
    </row>
    <row r="1515" customFormat="false" ht="15" hidden="false" customHeight="false" outlineLevel="0" collapsed="false">
      <c r="E1515" s="9" t="str">
        <f aca="false">IF($B1515="","",IFERROR(INDEX(書籍!$B$2:$B$2000,MATCH($B1515,書籍!$A$2:$A$2000,0)),"（沒建檔）"))</f>
        <v/>
      </c>
      <c r="F1515" s="9" t="str">
        <f aca="false">IF($A1515="","",IFERROR(INDEX(會員!$B$2:$B$2000,MATCH($A1515,會員!$A$2:$A$2000,0)),"（沒建檔）"))</f>
        <v/>
      </c>
      <c r="G1515" s="10" t="str">
        <f aca="false">IF($B1515="","",IF($D1515="","未還","已還"))</f>
        <v/>
      </c>
    </row>
    <row r="1516" customFormat="false" ht="15" hidden="false" customHeight="false" outlineLevel="0" collapsed="false">
      <c r="E1516" s="9" t="str">
        <f aca="false">IF($B1516="","",IFERROR(INDEX(書籍!$B$2:$B$2000,MATCH($B1516,書籍!$A$2:$A$2000,0)),"（沒建檔）"))</f>
        <v/>
      </c>
      <c r="F1516" s="9" t="str">
        <f aca="false">IF($A1516="","",IFERROR(INDEX(會員!$B$2:$B$2000,MATCH($A1516,會員!$A$2:$A$2000,0)),"（沒建檔）"))</f>
        <v/>
      </c>
      <c r="G1516" s="10" t="str">
        <f aca="false">IF($B1516="","",IF($D1516="","未還","已還"))</f>
        <v/>
      </c>
    </row>
    <row r="1517" customFormat="false" ht="15" hidden="false" customHeight="false" outlineLevel="0" collapsed="false">
      <c r="E1517" s="9" t="str">
        <f aca="false">IF($B1517="","",IFERROR(INDEX(書籍!$B$2:$B$2000,MATCH($B1517,書籍!$A$2:$A$2000,0)),"（沒建檔）"))</f>
        <v/>
      </c>
      <c r="F1517" s="9" t="str">
        <f aca="false">IF($A1517="","",IFERROR(INDEX(會員!$B$2:$B$2000,MATCH($A1517,會員!$A$2:$A$2000,0)),"（沒建檔）"))</f>
        <v/>
      </c>
      <c r="G1517" s="10" t="str">
        <f aca="false">IF($B1517="","",IF($D1517="","未還","已還"))</f>
        <v/>
      </c>
    </row>
    <row r="1518" customFormat="false" ht="15" hidden="false" customHeight="false" outlineLevel="0" collapsed="false">
      <c r="E1518" s="9" t="str">
        <f aca="false">IF($B1518="","",IFERROR(INDEX(書籍!$B$2:$B$2000,MATCH($B1518,書籍!$A$2:$A$2000,0)),"（沒建檔）"))</f>
        <v/>
      </c>
      <c r="F1518" s="9" t="str">
        <f aca="false">IF($A1518="","",IFERROR(INDEX(會員!$B$2:$B$2000,MATCH($A1518,會員!$A$2:$A$2000,0)),"（沒建檔）"))</f>
        <v/>
      </c>
      <c r="G1518" s="10" t="str">
        <f aca="false">IF($B1518="","",IF($D1518="","未還","已還"))</f>
        <v/>
      </c>
    </row>
    <row r="1519" customFormat="false" ht="15" hidden="false" customHeight="false" outlineLevel="0" collapsed="false">
      <c r="E1519" s="9" t="str">
        <f aca="false">IF($B1519="","",IFERROR(INDEX(書籍!$B$2:$B$2000,MATCH($B1519,書籍!$A$2:$A$2000,0)),"（沒建檔）"))</f>
        <v/>
      </c>
      <c r="F1519" s="9" t="str">
        <f aca="false">IF($A1519="","",IFERROR(INDEX(會員!$B$2:$B$2000,MATCH($A1519,會員!$A$2:$A$2000,0)),"（沒建檔）"))</f>
        <v/>
      </c>
      <c r="G1519" s="10" t="str">
        <f aca="false">IF($B1519="","",IF($D1519="","未還","已還"))</f>
        <v/>
      </c>
    </row>
    <row r="1520" customFormat="false" ht="15" hidden="false" customHeight="false" outlineLevel="0" collapsed="false">
      <c r="E1520" s="9" t="str">
        <f aca="false">IF($B1520="","",IFERROR(INDEX(書籍!$B$2:$B$2000,MATCH($B1520,書籍!$A$2:$A$2000,0)),"（沒建檔）"))</f>
        <v/>
      </c>
      <c r="F1520" s="9" t="str">
        <f aca="false">IF($A1520="","",IFERROR(INDEX(會員!$B$2:$B$2000,MATCH($A1520,會員!$A$2:$A$2000,0)),"（沒建檔）"))</f>
        <v/>
      </c>
      <c r="G1520" s="10" t="str">
        <f aca="false">IF($B1520="","",IF($D1520="","未還","已還"))</f>
        <v/>
      </c>
    </row>
    <row r="1521" customFormat="false" ht="15" hidden="false" customHeight="false" outlineLevel="0" collapsed="false">
      <c r="E1521" s="9" t="str">
        <f aca="false">IF($B1521="","",IFERROR(INDEX(書籍!$B$2:$B$2000,MATCH($B1521,書籍!$A$2:$A$2000,0)),"（沒建檔）"))</f>
        <v/>
      </c>
      <c r="F1521" s="9" t="str">
        <f aca="false">IF($A1521="","",IFERROR(INDEX(會員!$B$2:$B$2000,MATCH($A1521,會員!$A$2:$A$2000,0)),"（沒建檔）"))</f>
        <v/>
      </c>
      <c r="G1521" s="10" t="str">
        <f aca="false">IF($B1521="","",IF($D1521="","未還","已還"))</f>
        <v/>
      </c>
    </row>
    <row r="1522" customFormat="false" ht="15" hidden="false" customHeight="false" outlineLevel="0" collapsed="false">
      <c r="E1522" s="9" t="str">
        <f aca="false">IF($B1522="","",IFERROR(INDEX(書籍!$B$2:$B$2000,MATCH($B1522,書籍!$A$2:$A$2000,0)),"（沒建檔）"))</f>
        <v/>
      </c>
      <c r="F1522" s="9" t="str">
        <f aca="false">IF($A1522="","",IFERROR(INDEX(會員!$B$2:$B$2000,MATCH($A1522,會員!$A$2:$A$2000,0)),"（沒建檔）"))</f>
        <v/>
      </c>
      <c r="G1522" s="10" t="str">
        <f aca="false">IF($B1522="","",IF($D1522="","未還","已還"))</f>
        <v/>
      </c>
    </row>
    <row r="1523" customFormat="false" ht="15" hidden="false" customHeight="false" outlineLevel="0" collapsed="false">
      <c r="E1523" s="9" t="str">
        <f aca="false">IF($B1523="","",IFERROR(INDEX(書籍!$B$2:$B$2000,MATCH($B1523,書籍!$A$2:$A$2000,0)),"（沒建檔）"))</f>
        <v/>
      </c>
      <c r="F1523" s="9" t="str">
        <f aca="false">IF($A1523="","",IFERROR(INDEX(會員!$B$2:$B$2000,MATCH($A1523,會員!$A$2:$A$2000,0)),"（沒建檔）"))</f>
        <v/>
      </c>
      <c r="G1523" s="10" t="str">
        <f aca="false">IF($B1523="","",IF($D1523="","未還","已還"))</f>
        <v/>
      </c>
    </row>
    <row r="1524" customFormat="false" ht="15" hidden="false" customHeight="false" outlineLevel="0" collapsed="false">
      <c r="E1524" s="9" t="str">
        <f aca="false">IF($B1524="","",IFERROR(INDEX(書籍!$B$2:$B$2000,MATCH($B1524,書籍!$A$2:$A$2000,0)),"（沒建檔）"))</f>
        <v/>
      </c>
      <c r="F1524" s="9" t="str">
        <f aca="false">IF($A1524="","",IFERROR(INDEX(會員!$B$2:$B$2000,MATCH($A1524,會員!$A$2:$A$2000,0)),"（沒建檔）"))</f>
        <v/>
      </c>
      <c r="G1524" s="10" t="str">
        <f aca="false">IF($B1524="","",IF($D1524="","未還","已還"))</f>
        <v/>
      </c>
    </row>
    <row r="1525" customFormat="false" ht="15" hidden="false" customHeight="false" outlineLevel="0" collapsed="false">
      <c r="E1525" s="9" t="str">
        <f aca="false">IF($B1525="","",IFERROR(INDEX(書籍!$B$2:$B$2000,MATCH($B1525,書籍!$A$2:$A$2000,0)),"（沒建檔）"))</f>
        <v/>
      </c>
      <c r="F1525" s="9" t="str">
        <f aca="false">IF($A1525="","",IFERROR(INDEX(會員!$B$2:$B$2000,MATCH($A1525,會員!$A$2:$A$2000,0)),"（沒建檔）"))</f>
        <v/>
      </c>
      <c r="G1525" s="10" t="str">
        <f aca="false">IF($B1525="","",IF($D1525="","未還","已還"))</f>
        <v/>
      </c>
    </row>
    <row r="1526" customFormat="false" ht="15" hidden="false" customHeight="false" outlineLevel="0" collapsed="false">
      <c r="E1526" s="9" t="str">
        <f aca="false">IF($B1526="","",IFERROR(INDEX(書籍!$B$2:$B$2000,MATCH($B1526,書籍!$A$2:$A$2000,0)),"（沒建檔）"))</f>
        <v/>
      </c>
      <c r="F1526" s="9" t="str">
        <f aca="false">IF($A1526="","",IFERROR(INDEX(會員!$B$2:$B$2000,MATCH($A1526,會員!$A$2:$A$2000,0)),"（沒建檔）"))</f>
        <v/>
      </c>
      <c r="G1526" s="10" t="str">
        <f aca="false">IF($B1526="","",IF($D1526="","未還","已還"))</f>
        <v/>
      </c>
    </row>
    <row r="1527" customFormat="false" ht="15" hidden="false" customHeight="false" outlineLevel="0" collapsed="false">
      <c r="E1527" s="9" t="str">
        <f aca="false">IF($B1527="","",IFERROR(INDEX(書籍!$B$2:$B$2000,MATCH($B1527,書籍!$A$2:$A$2000,0)),"（沒建檔）"))</f>
        <v/>
      </c>
      <c r="F1527" s="9" t="str">
        <f aca="false">IF($A1527="","",IFERROR(INDEX(會員!$B$2:$B$2000,MATCH($A1527,會員!$A$2:$A$2000,0)),"（沒建檔）"))</f>
        <v/>
      </c>
      <c r="G1527" s="10" t="str">
        <f aca="false">IF($B1527="","",IF($D1527="","未還","已還"))</f>
        <v/>
      </c>
    </row>
    <row r="1528" customFormat="false" ht="15" hidden="false" customHeight="false" outlineLevel="0" collapsed="false">
      <c r="E1528" s="9" t="str">
        <f aca="false">IF($B1528="","",IFERROR(INDEX(書籍!$B$2:$B$2000,MATCH($B1528,書籍!$A$2:$A$2000,0)),"（沒建檔）"))</f>
        <v/>
      </c>
      <c r="F1528" s="9" t="str">
        <f aca="false">IF($A1528="","",IFERROR(INDEX(會員!$B$2:$B$2000,MATCH($A1528,會員!$A$2:$A$2000,0)),"（沒建檔）"))</f>
        <v/>
      </c>
      <c r="G1528" s="10" t="str">
        <f aca="false">IF($B1528="","",IF($D1528="","未還","已還"))</f>
        <v/>
      </c>
    </row>
    <row r="1529" customFormat="false" ht="15" hidden="false" customHeight="false" outlineLevel="0" collapsed="false">
      <c r="E1529" s="9" t="str">
        <f aca="false">IF($B1529="","",IFERROR(INDEX(書籍!$B$2:$B$2000,MATCH($B1529,書籍!$A$2:$A$2000,0)),"（沒建檔）"))</f>
        <v/>
      </c>
      <c r="F1529" s="9" t="str">
        <f aca="false">IF($A1529="","",IFERROR(INDEX(會員!$B$2:$B$2000,MATCH($A1529,會員!$A$2:$A$2000,0)),"（沒建檔）"))</f>
        <v/>
      </c>
      <c r="G1529" s="10" t="str">
        <f aca="false">IF($B1529="","",IF($D1529="","未還","已還"))</f>
        <v/>
      </c>
    </row>
    <row r="1530" customFormat="false" ht="15" hidden="false" customHeight="false" outlineLevel="0" collapsed="false">
      <c r="E1530" s="9" t="str">
        <f aca="false">IF($B1530="","",IFERROR(INDEX(書籍!$B$2:$B$2000,MATCH($B1530,書籍!$A$2:$A$2000,0)),"（沒建檔）"))</f>
        <v/>
      </c>
      <c r="F1530" s="9" t="str">
        <f aca="false">IF($A1530="","",IFERROR(INDEX(會員!$B$2:$B$2000,MATCH($A1530,會員!$A$2:$A$2000,0)),"（沒建檔）"))</f>
        <v/>
      </c>
      <c r="G1530" s="10" t="str">
        <f aca="false">IF($B1530="","",IF($D1530="","未還","已還"))</f>
        <v/>
      </c>
    </row>
    <row r="1531" customFormat="false" ht="15" hidden="false" customHeight="false" outlineLevel="0" collapsed="false">
      <c r="E1531" s="9" t="str">
        <f aca="false">IF($B1531="","",IFERROR(INDEX(書籍!$B$2:$B$2000,MATCH($B1531,書籍!$A$2:$A$2000,0)),"（沒建檔）"))</f>
        <v/>
      </c>
      <c r="F1531" s="9" t="str">
        <f aca="false">IF($A1531="","",IFERROR(INDEX(會員!$B$2:$B$2000,MATCH($A1531,會員!$A$2:$A$2000,0)),"（沒建檔）"))</f>
        <v/>
      </c>
      <c r="G1531" s="10" t="str">
        <f aca="false">IF($B1531="","",IF($D1531="","未還","已還"))</f>
        <v/>
      </c>
    </row>
    <row r="1532" customFormat="false" ht="15" hidden="false" customHeight="false" outlineLevel="0" collapsed="false">
      <c r="E1532" s="9" t="str">
        <f aca="false">IF($B1532="","",IFERROR(INDEX(書籍!$B$2:$B$2000,MATCH($B1532,書籍!$A$2:$A$2000,0)),"（沒建檔）"))</f>
        <v/>
      </c>
      <c r="F1532" s="9" t="str">
        <f aca="false">IF($A1532="","",IFERROR(INDEX(會員!$B$2:$B$2000,MATCH($A1532,會員!$A$2:$A$2000,0)),"（沒建檔）"))</f>
        <v/>
      </c>
      <c r="G1532" s="10" t="str">
        <f aca="false">IF($B1532="","",IF($D1532="","未還","已還"))</f>
        <v/>
      </c>
    </row>
    <row r="1533" customFormat="false" ht="15" hidden="false" customHeight="false" outlineLevel="0" collapsed="false">
      <c r="E1533" s="9" t="str">
        <f aca="false">IF($B1533="","",IFERROR(INDEX(書籍!$B$2:$B$2000,MATCH($B1533,書籍!$A$2:$A$2000,0)),"（沒建檔）"))</f>
        <v/>
      </c>
      <c r="F1533" s="9" t="str">
        <f aca="false">IF($A1533="","",IFERROR(INDEX(會員!$B$2:$B$2000,MATCH($A1533,會員!$A$2:$A$2000,0)),"（沒建檔）"))</f>
        <v/>
      </c>
      <c r="G1533" s="10" t="str">
        <f aca="false">IF($B1533="","",IF($D1533="","未還","已還"))</f>
        <v/>
      </c>
    </row>
    <row r="1534" customFormat="false" ht="15" hidden="false" customHeight="false" outlineLevel="0" collapsed="false">
      <c r="E1534" s="9" t="str">
        <f aca="false">IF($B1534="","",IFERROR(INDEX(書籍!$B$2:$B$2000,MATCH($B1534,書籍!$A$2:$A$2000,0)),"（沒建檔）"))</f>
        <v/>
      </c>
      <c r="F1534" s="9" t="str">
        <f aca="false">IF($A1534="","",IFERROR(INDEX(會員!$B$2:$B$2000,MATCH($A1534,會員!$A$2:$A$2000,0)),"（沒建檔）"))</f>
        <v/>
      </c>
      <c r="G1534" s="10" t="str">
        <f aca="false">IF($B1534="","",IF($D1534="","未還","已還"))</f>
        <v/>
      </c>
    </row>
    <row r="1535" customFormat="false" ht="15" hidden="false" customHeight="false" outlineLevel="0" collapsed="false">
      <c r="E1535" s="9" t="str">
        <f aca="false">IF($B1535="","",IFERROR(INDEX(書籍!$B$2:$B$2000,MATCH($B1535,書籍!$A$2:$A$2000,0)),"（沒建檔）"))</f>
        <v/>
      </c>
      <c r="F1535" s="9" t="str">
        <f aca="false">IF($A1535="","",IFERROR(INDEX(會員!$B$2:$B$2000,MATCH($A1535,會員!$A$2:$A$2000,0)),"（沒建檔）"))</f>
        <v/>
      </c>
      <c r="G1535" s="10" t="str">
        <f aca="false">IF($B1535="","",IF($D1535="","未還","已還"))</f>
        <v/>
      </c>
    </row>
    <row r="1536" customFormat="false" ht="15" hidden="false" customHeight="false" outlineLevel="0" collapsed="false">
      <c r="E1536" s="9" t="str">
        <f aca="false">IF($B1536="","",IFERROR(INDEX(書籍!$B$2:$B$2000,MATCH($B1536,書籍!$A$2:$A$2000,0)),"（沒建檔）"))</f>
        <v/>
      </c>
      <c r="F1536" s="9" t="str">
        <f aca="false">IF($A1536="","",IFERROR(INDEX(會員!$B$2:$B$2000,MATCH($A1536,會員!$A$2:$A$2000,0)),"（沒建檔）"))</f>
        <v/>
      </c>
      <c r="G1536" s="10" t="str">
        <f aca="false">IF($B1536="","",IF($D1536="","未還","已還"))</f>
        <v/>
      </c>
    </row>
    <row r="1537" customFormat="false" ht="15" hidden="false" customHeight="false" outlineLevel="0" collapsed="false">
      <c r="E1537" s="9" t="str">
        <f aca="false">IF($B1537="","",IFERROR(INDEX(書籍!$B$2:$B$2000,MATCH($B1537,書籍!$A$2:$A$2000,0)),"（沒建檔）"))</f>
        <v/>
      </c>
      <c r="F1537" s="9" t="str">
        <f aca="false">IF($A1537="","",IFERROR(INDEX(會員!$B$2:$B$2000,MATCH($A1537,會員!$A$2:$A$2000,0)),"（沒建檔）"))</f>
        <v/>
      </c>
      <c r="G1537" s="10" t="str">
        <f aca="false">IF($B1537="","",IF($D1537="","未還","已還"))</f>
        <v/>
      </c>
    </row>
    <row r="1538" customFormat="false" ht="15" hidden="false" customHeight="false" outlineLevel="0" collapsed="false">
      <c r="E1538" s="9" t="str">
        <f aca="false">IF($B1538="","",IFERROR(INDEX(書籍!$B$2:$B$2000,MATCH($B1538,書籍!$A$2:$A$2000,0)),"（沒建檔）"))</f>
        <v/>
      </c>
      <c r="F1538" s="9" t="str">
        <f aca="false">IF($A1538="","",IFERROR(INDEX(會員!$B$2:$B$2000,MATCH($A1538,會員!$A$2:$A$2000,0)),"（沒建檔）"))</f>
        <v/>
      </c>
      <c r="G1538" s="10" t="str">
        <f aca="false">IF($B1538="","",IF($D1538="","未還","已還"))</f>
        <v/>
      </c>
    </row>
    <row r="1539" customFormat="false" ht="15" hidden="false" customHeight="false" outlineLevel="0" collapsed="false">
      <c r="E1539" s="9" t="str">
        <f aca="false">IF($B1539="","",IFERROR(INDEX(書籍!$B$2:$B$2000,MATCH($B1539,書籍!$A$2:$A$2000,0)),"（沒建檔）"))</f>
        <v/>
      </c>
      <c r="F1539" s="9" t="str">
        <f aca="false">IF($A1539="","",IFERROR(INDEX(會員!$B$2:$B$2000,MATCH($A1539,會員!$A$2:$A$2000,0)),"（沒建檔）"))</f>
        <v/>
      </c>
      <c r="G1539" s="10" t="str">
        <f aca="false">IF($B1539="","",IF($D1539="","未還","已還"))</f>
        <v/>
      </c>
    </row>
    <row r="1540" customFormat="false" ht="15" hidden="false" customHeight="false" outlineLevel="0" collapsed="false">
      <c r="E1540" s="9" t="str">
        <f aca="false">IF($B1540="","",IFERROR(INDEX(書籍!$B$2:$B$2000,MATCH($B1540,書籍!$A$2:$A$2000,0)),"（沒建檔）"))</f>
        <v/>
      </c>
      <c r="F1540" s="9" t="str">
        <f aca="false">IF($A1540="","",IFERROR(INDEX(會員!$B$2:$B$2000,MATCH($A1540,會員!$A$2:$A$2000,0)),"（沒建檔）"))</f>
        <v/>
      </c>
      <c r="G1540" s="10" t="str">
        <f aca="false">IF($B1540="","",IF($D1540="","未還","已還"))</f>
        <v/>
      </c>
    </row>
    <row r="1541" customFormat="false" ht="15" hidden="false" customHeight="false" outlineLevel="0" collapsed="false">
      <c r="E1541" s="9" t="str">
        <f aca="false">IF($B1541="","",IFERROR(INDEX(書籍!$B$2:$B$2000,MATCH($B1541,書籍!$A$2:$A$2000,0)),"（沒建檔）"))</f>
        <v/>
      </c>
      <c r="F1541" s="9" t="str">
        <f aca="false">IF($A1541="","",IFERROR(INDEX(會員!$B$2:$B$2000,MATCH($A1541,會員!$A$2:$A$2000,0)),"（沒建檔）"))</f>
        <v/>
      </c>
      <c r="G1541" s="10" t="str">
        <f aca="false">IF($B1541="","",IF($D1541="","未還","已還"))</f>
        <v/>
      </c>
    </row>
    <row r="1542" customFormat="false" ht="15" hidden="false" customHeight="false" outlineLevel="0" collapsed="false">
      <c r="E1542" s="9" t="str">
        <f aca="false">IF($B1542="","",IFERROR(INDEX(書籍!$B$2:$B$2000,MATCH($B1542,書籍!$A$2:$A$2000,0)),"（沒建檔）"))</f>
        <v/>
      </c>
      <c r="F1542" s="9" t="str">
        <f aca="false">IF($A1542="","",IFERROR(INDEX(會員!$B$2:$B$2000,MATCH($A1542,會員!$A$2:$A$2000,0)),"（沒建檔）"))</f>
        <v/>
      </c>
      <c r="G1542" s="10" t="str">
        <f aca="false">IF($B1542="","",IF($D1542="","未還","已還"))</f>
        <v/>
      </c>
    </row>
    <row r="1543" customFormat="false" ht="15" hidden="false" customHeight="false" outlineLevel="0" collapsed="false">
      <c r="E1543" s="9" t="str">
        <f aca="false">IF($B1543="","",IFERROR(INDEX(書籍!$B$2:$B$2000,MATCH($B1543,書籍!$A$2:$A$2000,0)),"（沒建檔）"))</f>
        <v/>
      </c>
      <c r="F1543" s="9" t="str">
        <f aca="false">IF($A1543="","",IFERROR(INDEX(會員!$B$2:$B$2000,MATCH($A1543,會員!$A$2:$A$2000,0)),"（沒建檔）"))</f>
        <v/>
      </c>
      <c r="G1543" s="10" t="str">
        <f aca="false">IF($B1543="","",IF($D1543="","未還","已還"))</f>
        <v/>
      </c>
    </row>
    <row r="1544" customFormat="false" ht="15" hidden="false" customHeight="false" outlineLevel="0" collapsed="false">
      <c r="E1544" s="9" t="str">
        <f aca="false">IF($B1544="","",IFERROR(INDEX(書籍!$B$2:$B$2000,MATCH($B1544,書籍!$A$2:$A$2000,0)),"（沒建檔）"))</f>
        <v/>
      </c>
      <c r="F1544" s="9" t="str">
        <f aca="false">IF($A1544="","",IFERROR(INDEX(會員!$B$2:$B$2000,MATCH($A1544,會員!$A$2:$A$2000,0)),"（沒建檔）"))</f>
        <v/>
      </c>
      <c r="G1544" s="10" t="str">
        <f aca="false">IF($B1544="","",IF($D1544="","未還","已還"))</f>
        <v/>
      </c>
    </row>
    <row r="1545" customFormat="false" ht="15" hidden="false" customHeight="false" outlineLevel="0" collapsed="false">
      <c r="E1545" s="9" t="str">
        <f aca="false">IF($B1545="","",IFERROR(INDEX(書籍!$B$2:$B$2000,MATCH($B1545,書籍!$A$2:$A$2000,0)),"（沒建檔）"))</f>
        <v/>
      </c>
      <c r="F1545" s="9" t="str">
        <f aca="false">IF($A1545="","",IFERROR(INDEX(會員!$B$2:$B$2000,MATCH($A1545,會員!$A$2:$A$2000,0)),"（沒建檔）"))</f>
        <v/>
      </c>
      <c r="G1545" s="10" t="str">
        <f aca="false">IF($B1545="","",IF($D1545="","未還","已還"))</f>
        <v/>
      </c>
    </row>
    <row r="1546" customFormat="false" ht="15" hidden="false" customHeight="false" outlineLevel="0" collapsed="false">
      <c r="E1546" s="9" t="str">
        <f aca="false">IF($B1546="","",IFERROR(INDEX(書籍!$B$2:$B$2000,MATCH($B1546,書籍!$A$2:$A$2000,0)),"（沒建檔）"))</f>
        <v/>
      </c>
      <c r="F1546" s="9" t="str">
        <f aca="false">IF($A1546="","",IFERROR(INDEX(會員!$B$2:$B$2000,MATCH($A1546,會員!$A$2:$A$2000,0)),"（沒建檔）"))</f>
        <v/>
      </c>
      <c r="G1546" s="10" t="str">
        <f aca="false">IF($B1546="","",IF($D1546="","未還","已還"))</f>
        <v/>
      </c>
    </row>
    <row r="1547" customFormat="false" ht="15" hidden="false" customHeight="false" outlineLevel="0" collapsed="false">
      <c r="E1547" s="9" t="str">
        <f aca="false">IF($B1547="","",IFERROR(INDEX(書籍!$B$2:$B$2000,MATCH($B1547,書籍!$A$2:$A$2000,0)),"（沒建檔）"))</f>
        <v/>
      </c>
      <c r="F1547" s="9" t="str">
        <f aca="false">IF($A1547="","",IFERROR(INDEX(會員!$B$2:$B$2000,MATCH($A1547,會員!$A$2:$A$2000,0)),"（沒建檔）"))</f>
        <v/>
      </c>
      <c r="G1547" s="10" t="str">
        <f aca="false">IF($B1547="","",IF($D1547="","未還","已還"))</f>
        <v/>
      </c>
    </row>
    <row r="1548" customFormat="false" ht="15" hidden="false" customHeight="false" outlineLevel="0" collapsed="false">
      <c r="E1548" s="9" t="str">
        <f aca="false">IF($B1548="","",IFERROR(INDEX(書籍!$B$2:$B$2000,MATCH($B1548,書籍!$A$2:$A$2000,0)),"（沒建檔）"))</f>
        <v/>
      </c>
      <c r="F1548" s="9" t="str">
        <f aca="false">IF($A1548="","",IFERROR(INDEX(會員!$B$2:$B$2000,MATCH($A1548,會員!$A$2:$A$2000,0)),"（沒建檔）"))</f>
        <v/>
      </c>
      <c r="G1548" s="10" t="str">
        <f aca="false">IF($B1548="","",IF($D1548="","未還","已還"))</f>
        <v/>
      </c>
    </row>
    <row r="1549" customFormat="false" ht="15" hidden="false" customHeight="false" outlineLevel="0" collapsed="false">
      <c r="E1549" s="9" t="str">
        <f aca="false">IF($B1549="","",IFERROR(INDEX(書籍!$B$2:$B$2000,MATCH($B1549,書籍!$A$2:$A$2000,0)),"（沒建檔）"))</f>
        <v/>
      </c>
      <c r="F1549" s="9" t="str">
        <f aca="false">IF($A1549="","",IFERROR(INDEX(會員!$B$2:$B$2000,MATCH($A1549,會員!$A$2:$A$2000,0)),"（沒建檔）"))</f>
        <v/>
      </c>
      <c r="G1549" s="10" t="str">
        <f aca="false">IF($B1549="","",IF($D1549="","未還","已還"))</f>
        <v/>
      </c>
    </row>
    <row r="1550" customFormat="false" ht="15" hidden="false" customHeight="false" outlineLevel="0" collapsed="false">
      <c r="E1550" s="9" t="str">
        <f aca="false">IF($B1550="","",IFERROR(INDEX(書籍!$B$2:$B$2000,MATCH($B1550,書籍!$A$2:$A$2000,0)),"（沒建檔）"))</f>
        <v/>
      </c>
      <c r="F1550" s="9" t="str">
        <f aca="false">IF($A1550="","",IFERROR(INDEX(會員!$B$2:$B$2000,MATCH($A1550,會員!$A$2:$A$2000,0)),"（沒建檔）"))</f>
        <v/>
      </c>
      <c r="G1550" s="10" t="str">
        <f aca="false">IF($B1550="","",IF($D1550="","未還","已還"))</f>
        <v/>
      </c>
    </row>
    <row r="1551" customFormat="false" ht="15" hidden="false" customHeight="false" outlineLevel="0" collapsed="false">
      <c r="E1551" s="9" t="str">
        <f aca="false">IF($B1551="","",IFERROR(INDEX(書籍!$B$2:$B$2000,MATCH($B1551,書籍!$A$2:$A$2000,0)),"（沒建檔）"))</f>
        <v/>
      </c>
      <c r="F1551" s="9" t="str">
        <f aca="false">IF($A1551="","",IFERROR(INDEX(會員!$B$2:$B$2000,MATCH($A1551,會員!$A$2:$A$2000,0)),"（沒建檔）"))</f>
        <v/>
      </c>
      <c r="G1551" s="10" t="str">
        <f aca="false">IF($B1551="","",IF($D1551="","未還","已還"))</f>
        <v/>
      </c>
    </row>
    <row r="1552" customFormat="false" ht="15" hidden="false" customHeight="false" outlineLevel="0" collapsed="false">
      <c r="E1552" s="9" t="str">
        <f aca="false">IF($B1552="","",IFERROR(INDEX(書籍!$B$2:$B$2000,MATCH($B1552,書籍!$A$2:$A$2000,0)),"（沒建檔）"))</f>
        <v/>
      </c>
      <c r="F1552" s="9" t="str">
        <f aca="false">IF($A1552="","",IFERROR(INDEX(會員!$B$2:$B$2000,MATCH($A1552,會員!$A$2:$A$2000,0)),"（沒建檔）"))</f>
        <v/>
      </c>
      <c r="G1552" s="10" t="str">
        <f aca="false">IF($B1552="","",IF($D1552="","未還","已還"))</f>
        <v/>
      </c>
    </row>
    <row r="1553" customFormat="false" ht="15" hidden="false" customHeight="false" outlineLevel="0" collapsed="false">
      <c r="E1553" s="9" t="str">
        <f aca="false">IF($B1553="","",IFERROR(INDEX(書籍!$B$2:$B$2000,MATCH($B1553,書籍!$A$2:$A$2000,0)),"（沒建檔）"))</f>
        <v/>
      </c>
      <c r="F1553" s="9" t="str">
        <f aca="false">IF($A1553="","",IFERROR(INDEX(會員!$B$2:$B$2000,MATCH($A1553,會員!$A$2:$A$2000,0)),"（沒建檔）"))</f>
        <v/>
      </c>
      <c r="G1553" s="10" t="str">
        <f aca="false">IF($B1553="","",IF($D1553="","未還","已還"))</f>
        <v/>
      </c>
    </row>
    <row r="1554" customFormat="false" ht="15" hidden="false" customHeight="false" outlineLevel="0" collapsed="false">
      <c r="E1554" s="9" t="str">
        <f aca="false">IF($B1554="","",IFERROR(INDEX(書籍!$B$2:$B$2000,MATCH($B1554,書籍!$A$2:$A$2000,0)),"（沒建檔）"))</f>
        <v/>
      </c>
      <c r="F1554" s="9" t="str">
        <f aca="false">IF($A1554="","",IFERROR(INDEX(會員!$B$2:$B$2000,MATCH($A1554,會員!$A$2:$A$2000,0)),"（沒建檔）"))</f>
        <v/>
      </c>
      <c r="G1554" s="10" t="str">
        <f aca="false">IF($B1554="","",IF($D1554="","未還","已還"))</f>
        <v/>
      </c>
    </row>
    <row r="1555" customFormat="false" ht="15" hidden="false" customHeight="false" outlineLevel="0" collapsed="false">
      <c r="E1555" s="9" t="str">
        <f aca="false">IF($B1555="","",IFERROR(INDEX(書籍!$B$2:$B$2000,MATCH($B1555,書籍!$A$2:$A$2000,0)),"（沒建檔）"))</f>
        <v/>
      </c>
      <c r="F1555" s="9" t="str">
        <f aca="false">IF($A1555="","",IFERROR(INDEX(會員!$B$2:$B$2000,MATCH($A1555,會員!$A$2:$A$2000,0)),"（沒建檔）"))</f>
        <v/>
      </c>
      <c r="G1555" s="10" t="str">
        <f aca="false">IF($B1555="","",IF($D1555="","未還","已還"))</f>
        <v/>
      </c>
    </row>
    <row r="1556" customFormat="false" ht="15" hidden="false" customHeight="false" outlineLevel="0" collapsed="false">
      <c r="E1556" s="9" t="str">
        <f aca="false">IF($B1556="","",IFERROR(INDEX(書籍!$B$2:$B$2000,MATCH($B1556,書籍!$A$2:$A$2000,0)),"（沒建檔）"))</f>
        <v/>
      </c>
      <c r="F1556" s="9" t="str">
        <f aca="false">IF($A1556="","",IFERROR(INDEX(會員!$B$2:$B$2000,MATCH($A1556,會員!$A$2:$A$2000,0)),"（沒建檔）"))</f>
        <v/>
      </c>
      <c r="G1556" s="10" t="str">
        <f aca="false">IF($B1556="","",IF($D1556="","未還","已還"))</f>
        <v/>
      </c>
    </row>
    <row r="1557" customFormat="false" ht="15" hidden="false" customHeight="false" outlineLevel="0" collapsed="false">
      <c r="E1557" s="9" t="str">
        <f aca="false">IF($B1557="","",IFERROR(INDEX(書籍!$B$2:$B$2000,MATCH($B1557,書籍!$A$2:$A$2000,0)),"（沒建檔）"))</f>
        <v/>
      </c>
      <c r="F1557" s="9" t="str">
        <f aca="false">IF($A1557="","",IFERROR(INDEX(會員!$B$2:$B$2000,MATCH($A1557,會員!$A$2:$A$2000,0)),"（沒建檔）"))</f>
        <v/>
      </c>
      <c r="G1557" s="10" t="str">
        <f aca="false">IF($B1557="","",IF($D1557="","未還","已還"))</f>
        <v/>
      </c>
    </row>
    <row r="1558" customFormat="false" ht="15" hidden="false" customHeight="false" outlineLevel="0" collapsed="false">
      <c r="E1558" s="9" t="str">
        <f aca="false">IF($B1558="","",IFERROR(INDEX(書籍!$B$2:$B$2000,MATCH($B1558,書籍!$A$2:$A$2000,0)),"（沒建檔）"))</f>
        <v/>
      </c>
      <c r="F1558" s="9" t="str">
        <f aca="false">IF($A1558="","",IFERROR(INDEX(會員!$B$2:$B$2000,MATCH($A1558,會員!$A$2:$A$2000,0)),"（沒建檔）"))</f>
        <v/>
      </c>
      <c r="G1558" s="10" t="str">
        <f aca="false">IF($B1558="","",IF($D1558="","未還","已還"))</f>
        <v/>
      </c>
    </row>
    <row r="1559" customFormat="false" ht="15" hidden="false" customHeight="false" outlineLevel="0" collapsed="false">
      <c r="E1559" s="9" t="str">
        <f aca="false">IF($B1559="","",IFERROR(INDEX(書籍!$B$2:$B$2000,MATCH($B1559,書籍!$A$2:$A$2000,0)),"（沒建檔）"))</f>
        <v/>
      </c>
      <c r="F1559" s="9" t="str">
        <f aca="false">IF($A1559="","",IFERROR(INDEX(會員!$B$2:$B$2000,MATCH($A1559,會員!$A$2:$A$2000,0)),"（沒建檔）"))</f>
        <v/>
      </c>
      <c r="G1559" s="10" t="str">
        <f aca="false">IF($B1559="","",IF($D1559="","未還","已還"))</f>
        <v/>
      </c>
    </row>
    <row r="1560" customFormat="false" ht="15" hidden="false" customHeight="false" outlineLevel="0" collapsed="false">
      <c r="E1560" s="9" t="str">
        <f aca="false">IF($B1560="","",IFERROR(INDEX(書籍!$B$2:$B$2000,MATCH($B1560,書籍!$A$2:$A$2000,0)),"（沒建檔）"))</f>
        <v/>
      </c>
      <c r="F1560" s="9" t="str">
        <f aca="false">IF($A1560="","",IFERROR(INDEX(會員!$B$2:$B$2000,MATCH($A1560,會員!$A$2:$A$2000,0)),"（沒建檔）"))</f>
        <v/>
      </c>
      <c r="G1560" s="10" t="str">
        <f aca="false">IF($B1560="","",IF($D1560="","未還","已還"))</f>
        <v/>
      </c>
    </row>
    <row r="1561" customFormat="false" ht="15" hidden="false" customHeight="false" outlineLevel="0" collapsed="false">
      <c r="E1561" s="9" t="str">
        <f aca="false">IF($B1561="","",IFERROR(INDEX(書籍!$B$2:$B$2000,MATCH($B1561,書籍!$A$2:$A$2000,0)),"（沒建檔）"))</f>
        <v/>
      </c>
      <c r="F1561" s="9" t="str">
        <f aca="false">IF($A1561="","",IFERROR(INDEX(會員!$B$2:$B$2000,MATCH($A1561,會員!$A$2:$A$2000,0)),"（沒建檔）"))</f>
        <v/>
      </c>
      <c r="G1561" s="10" t="str">
        <f aca="false">IF($B1561="","",IF($D1561="","未還","已還"))</f>
        <v/>
      </c>
    </row>
    <row r="1562" customFormat="false" ht="15" hidden="false" customHeight="false" outlineLevel="0" collapsed="false">
      <c r="E1562" s="9" t="str">
        <f aca="false">IF($B1562="","",IFERROR(INDEX(書籍!$B$2:$B$2000,MATCH($B1562,書籍!$A$2:$A$2000,0)),"（沒建檔）"))</f>
        <v/>
      </c>
      <c r="F1562" s="9" t="str">
        <f aca="false">IF($A1562="","",IFERROR(INDEX(會員!$B$2:$B$2000,MATCH($A1562,會員!$A$2:$A$2000,0)),"（沒建檔）"))</f>
        <v/>
      </c>
      <c r="G1562" s="10" t="str">
        <f aca="false">IF($B1562="","",IF($D1562="","未還","已還"))</f>
        <v/>
      </c>
    </row>
    <row r="1563" customFormat="false" ht="15" hidden="false" customHeight="false" outlineLevel="0" collapsed="false">
      <c r="E1563" s="9" t="str">
        <f aca="false">IF($B1563="","",IFERROR(INDEX(書籍!$B$2:$B$2000,MATCH($B1563,書籍!$A$2:$A$2000,0)),"（沒建檔）"))</f>
        <v/>
      </c>
      <c r="F1563" s="9" t="str">
        <f aca="false">IF($A1563="","",IFERROR(INDEX(會員!$B$2:$B$2000,MATCH($A1563,會員!$A$2:$A$2000,0)),"（沒建檔）"))</f>
        <v/>
      </c>
      <c r="G1563" s="10" t="str">
        <f aca="false">IF($B1563="","",IF($D1563="","未還","已還"))</f>
        <v/>
      </c>
    </row>
    <row r="1564" customFormat="false" ht="15" hidden="false" customHeight="false" outlineLevel="0" collapsed="false">
      <c r="E1564" s="9" t="str">
        <f aca="false">IF($B1564="","",IFERROR(INDEX(書籍!$B$2:$B$2000,MATCH($B1564,書籍!$A$2:$A$2000,0)),"（沒建檔）"))</f>
        <v/>
      </c>
      <c r="F1564" s="9" t="str">
        <f aca="false">IF($A1564="","",IFERROR(INDEX(會員!$B$2:$B$2000,MATCH($A1564,會員!$A$2:$A$2000,0)),"（沒建檔）"))</f>
        <v/>
      </c>
      <c r="G1564" s="10" t="str">
        <f aca="false">IF($B1564="","",IF($D1564="","未還","已還"))</f>
        <v/>
      </c>
    </row>
    <row r="1565" customFormat="false" ht="15" hidden="false" customHeight="false" outlineLevel="0" collapsed="false">
      <c r="E1565" s="9" t="str">
        <f aca="false">IF($B1565="","",IFERROR(INDEX(書籍!$B$2:$B$2000,MATCH($B1565,書籍!$A$2:$A$2000,0)),"（沒建檔）"))</f>
        <v/>
      </c>
      <c r="F1565" s="9" t="str">
        <f aca="false">IF($A1565="","",IFERROR(INDEX(會員!$B$2:$B$2000,MATCH($A1565,會員!$A$2:$A$2000,0)),"（沒建檔）"))</f>
        <v/>
      </c>
      <c r="G1565" s="10" t="str">
        <f aca="false">IF($B1565="","",IF($D1565="","未還","已還"))</f>
        <v/>
      </c>
    </row>
    <row r="1566" customFormat="false" ht="15" hidden="false" customHeight="false" outlineLevel="0" collapsed="false">
      <c r="E1566" s="9" t="str">
        <f aca="false">IF($B1566="","",IFERROR(INDEX(書籍!$B$2:$B$2000,MATCH($B1566,書籍!$A$2:$A$2000,0)),"（沒建檔）"))</f>
        <v/>
      </c>
      <c r="F1566" s="9" t="str">
        <f aca="false">IF($A1566="","",IFERROR(INDEX(會員!$B$2:$B$2000,MATCH($A1566,會員!$A$2:$A$2000,0)),"（沒建檔）"))</f>
        <v/>
      </c>
      <c r="G1566" s="10" t="str">
        <f aca="false">IF($B1566="","",IF($D1566="","未還","已還"))</f>
        <v/>
      </c>
    </row>
    <row r="1567" customFormat="false" ht="15" hidden="false" customHeight="false" outlineLevel="0" collapsed="false">
      <c r="E1567" s="9" t="str">
        <f aca="false">IF($B1567="","",IFERROR(INDEX(書籍!$B$2:$B$2000,MATCH($B1567,書籍!$A$2:$A$2000,0)),"（沒建檔）"))</f>
        <v/>
      </c>
      <c r="F1567" s="9" t="str">
        <f aca="false">IF($A1567="","",IFERROR(INDEX(會員!$B$2:$B$2000,MATCH($A1567,會員!$A$2:$A$2000,0)),"（沒建檔）"))</f>
        <v/>
      </c>
      <c r="G1567" s="10" t="str">
        <f aca="false">IF($B1567="","",IF($D1567="","未還","已還"))</f>
        <v/>
      </c>
    </row>
    <row r="1568" customFormat="false" ht="15" hidden="false" customHeight="false" outlineLevel="0" collapsed="false">
      <c r="E1568" s="9" t="str">
        <f aca="false">IF($B1568="","",IFERROR(INDEX(書籍!$B$2:$B$2000,MATCH($B1568,書籍!$A$2:$A$2000,0)),"（沒建檔）"))</f>
        <v/>
      </c>
      <c r="F1568" s="9" t="str">
        <f aca="false">IF($A1568="","",IFERROR(INDEX(會員!$B$2:$B$2000,MATCH($A1568,會員!$A$2:$A$2000,0)),"（沒建檔）"))</f>
        <v/>
      </c>
      <c r="G1568" s="10" t="str">
        <f aca="false">IF($B1568="","",IF($D1568="","未還","已還"))</f>
        <v/>
      </c>
    </row>
    <row r="1569" customFormat="false" ht="15" hidden="false" customHeight="false" outlineLevel="0" collapsed="false">
      <c r="E1569" s="9" t="str">
        <f aca="false">IF($B1569="","",IFERROR(INDEX(書籍!$B$2:$B$2000,MATCH($B1569,書籍!$A$2:$A$2000,0)),"（沒建檔）"))</f>
        <v/>
      </c>
      <c r="F1569" s="9" t="str">
        <f aca="false">IF($A1569="","",IFERROR(INDEX(會員!$B$2:$B$2000,MATCH($A1569,會員!$A$2:$A$2000,0)),"（沒建檔）"))</f>
        <v/>
      </c>
      <c r="G1569" s="10" t="str">
        <f aca="false">IF($B1569="","",IF($D1569="","未還","已還"))</f>
        <v/>
      </c>
    </row>
    <row r="1570" customFormat="false" ht="15" hidden="false" customHeight="false" outlineLevel="0" collapsed="false">
      <c r="E1570" s="9" t="str">
        <f aca="false">IF($B1570="","",IFERROR(INDEX(書籍!$B$2:$B$2000,MATCH($B1570,書籍!$A$2:$A$2000,0)),"（沒建檔）"))</f>
        <v/>
      </c>
      <c r="F1570" s="9" t="str">
        <f aca="false">IF($A1570="","",IFERROR(INDEX(會員!$B$2:$B$2000,MATCH($A1570,會員!$A$2:$A$2000,0)),"（沒建檔）"))</f>
        <v/>
      </c>
      <c r="G1570" s="10" t="str">
        <f aca="false">IF($B1570="","",IF($D1570="","未還","已還"))</f>
        <v/>
      </c>
    </row>
    <row r="1571" customFormat="false" ht="15" hidden="false" customHeight="false" outlineLevel="0" collapsed="false">
      <c r="E1571" s="9" t="str">
        <f aca="false">IF($B1571="","",IFERROR(INDEX(書籍!$B$2:$B$2000,MATCH($B1571,書籍!$A$2:$A$2000,0)),"（沒建檔）"))</f>
        <v/>
      </c>
      <c r="F1571" s="9" t="str">
        <f aca="false">IF($A1571="","",IFERROR(INDEX(會員!$B$2:$B$2000,MATCH($A1571,會員!$A$2:$A$2000,0)),"（沒建檔）"))</f>
        <v/>
      </c>
      <c r="G1571" s="10" t="str">
        <f aca="false">IF($B1571="","",IF($D1571="","未還","已還"))</f>
        <v/>
      </c>
    </row>
    <row r="1572" customFormat="false" ht="15" hidden="false" customHeight="false" outlineLevel="0" collapsed="false">
      <c r="E1572" s="9" t="str">
        <f aca="false">IF($B1572="","",IFERROR(INDEX(書籍!$B$2:$B$2000,MATCH($B1572,書籍!$A$2:$A$2000,0)),"（沒建檔）"))</f>
        <v/>
      </c>
      <c r="F1572" s="9" t="str">
        <f aca="false">IF($A1572="","",IFERROR(INDEX(會員!$B$2:$B$2000,MATCH($A1572,會員!$A$2:$A$2000,0)),"（沒建檔）"))</f>
        <v/>
      </c>
      <c r="G1572" s="10" t="str">
        <f aca="false">IF($B1572="","",IF($D1572="","未還","已還"))</f>
        <v/>
      </c>
    </row>
    <row r="1573" customFormat="false" ht="15" hidden="false" customHeight="false" outlineLevel="0" collapsed="false">
      <c r="E1573" s="9" t="str">
        <f aca="false">IF($B1573="","",IFERROR(INDEX(書籍!$B$2:$B$2000,MATCH($B1573,書籍!$A$2:$A$2000,0)),"（沒建檔）"))</f>
        <v/>
      </c>
      <c r="F1573" s="9" t="str">
        <f aca="false">IF($A1573="","",IFERROR(INDEX(會員!$B$2:$B$2000,MATCH($A1573,會員!$A$2:$A$2000,0)),"（沒建檔）"))</f>
        <v/>
      </c>
      <c r="G1573" s="10" t="str">
        <f aca="false">IF($B1573="","",IF($D1573="","未還","已還"))</f>
        <v/>
      </c>
    </row>
    <row r="1574" customFormat="false" ht="15" hidden="false" customHeight="false" outlineLevel="0" collapsed="false">
      <c r="E1574" s="9" t="str">
        <f aca="false">IF($B1574="","",IFERROR(INDEX(書籍!$B$2:$B$2000,MATCH($B1574,書籍!$A$2:$A$2000,0)),"（沒建檔）"))</f>
        <v/>
      </c>
      <c r="F1574" s="9" t="str">
        <f aca="false">IF($A1574="","",IFERROR(INDEX(會員!$B$2:$B$2000,MATCH($A1574,會員!$A$2:$A$2000,0)),"（沒建檔）"))</f>
        <v/>
      </c>
      <c r="G1574" s="10" t="str">
        <f aca="false">IF($B1574="","",IF($D1574="","未還","已還"))</f>
        <v/>
      </c>
    </row>
    <row r="1575" customFormat="false" ht="15" hidden="false" customHeight="false" outlineLevel="0" collapsed="false">
      <c r="E1575" s="9" t="str">
        <f aca="false">IF($B1575="","",IFERROR(INDEX(書籍!$B$2:$B$2000,MATCH($B1575,書籍!$A$2:$A$2000,0)),"（沒建檔）"))</f>
        <v/>
      </c>
      <c r="F1575" s="9" t="str">
        <f aca="false">IF($A1575="","",IFERROR(INDEX(會員!$B$2:$B$2000,MATCH($A1575,會員!$A$2:$A$2000,0)),"（沒建檔）"))</f>
        <v/>
      </c>
      <c r="G1575" s="10" t="str">
        <f aca="false">IF($B1575="","",IF($D1575="","未還","已還"))</f>
        <v/>
      </c>
    </row>
    <row r="1576" customFormat="false" ht="15" hidden="false" customHeight="false" outlineLevel="0" collapsed="false">
      <c r="E1576" s="9" t="str">
        <f aca="false">IF($B1576="","",IFERROR(INDEX(書籍!$B$2:$B$2000,MATCH($B1576,書籍!$A$2:$A$2000,0)),"（沒建檔）"))</f>
        <v/>
      </c>
      <c r="F1576" s="9" t="str">
        <f aca="false">IF($A1576="","",IFERROR(INDEX(會員!$B$2:$B$2000,MATCH($A1576,會員!$A$2:$A$2000,0)),"（沒建檔）"))</f>
        <v/>
      </c>
      <c r="G1576" s="10" t="str">
        <f aca="false">IF($B1576="","",IF($D1576="","未還","已還"))</f>
        <v/>
      </c>
    </row>
    <row r="1577" customFormat="false" ht="15" hidden="false" customHeight="false" outlineLevel="0" collapsed="false">
      <c r="E1577" s="9" t="str">
        <f aca="false">IF($B1577="","",IFERROR(INDEX(書籍!$B$2:$B$2000,MATCH($B1577,書籍!$A$2:$A$2000,0)),"（沒建檔）"))</f>
        <v/>
      </c>
      <c r="F1577" s="9" t="str">
        <f aca="false">IF($A1577="","",IFERROR(INDEX(會員!$B$2:$B$2000,MATCH($A1577,會員!$A$2:$A$2000,0)),"（沒建檔）"))</f>
        <v/>
      </c>
      <c r="G1577" s="10" t="str">
        <f aca="false">IF($B1577="","",IF($D1577="","未還","已還"))</f>
        <v/>
      </c>
    </row>
    <row r="1578" customFormat="false" ht="15" hidden="false" customHeight="false" outlineLevel="0" collapsed="false">
      <c r="E1578" s="9" t="str">
        <f aca="false">IF($B1578="","",IFERROR(INDEX(書籍!$B$2:$B$2000,MATCH($B1578,書籍!$A$2:$A$2000,0)),"（沒建檔）"))</f>
        <v/>
      </c>
      <c r="F1578" s="9" t="str">
        <f aca="false">IF($A1578="","",IFERROR(INDEX(會員!$B$2:$B$2000,MATCH($A1578,會員!$A$2:$A$2000,0)),"（沒建檔）"))</f>
        <v/>
      </c>
      <c r="G1578" s="10" t="str">
        <f aca="false">IF($B1578="","",IF($D1578="","未還","已還"))</f>
        <v/>
      </c>
    </row>
    <row r="1579" customFormat="false" ht="15" hidden="false" customHeight="false" outlineLevel="0" collapsed="false">
      <c r="E1579" s="9" t="str">
        <f aca="false">IF($B1579="","",IFERROR(INDEX(書籍!$B$2:$B$2000,MATCH($B1579,書籍!$A$2:$A$2000,0)),"（沒建檔）"))</f>
        <v/>
      </c>
      <c r="F1579" s="9" t="str">
        <f aca="false">IF($A1579="","",IFERROR(INDEX(會員!$B$2:$B$2000,MATCH($A1579,會員!$A$2:$A$2000,0)),"（沒建檔）"))</f>
        <v/>
      </c>
      <c r="G1579" s="10" t="str">
        <f aca="false">IF($B1579="","",IF($D1579="","未還","已還"))</f>
        <v/>
      </c>
    </row>
    <row r="1580" customFormat="false" ht="15" hidden="false" customHeight="false" outlineLevel="0" collapsed="false">
      <c r="E1580" s="9" t="str">
        <f aca="false">IF($B1580="","",IFERROR(INDEX(書籍!$B$2:$B$2000,MATCH($B1580,書籍!$A$2:$A$2000,0)),"（沒建檔）"))</f>
        <v/>
      </c>
      <c r="F1580" s="9" t="str">
        <f aca="false">IF($A1580="","",IFERROR(INDEX(會員!$B$2:$B$2000,MATCH($A1580,會員!$A$2:$A$2000,0)),"（沒建檔）"))</f>
        <v/>
      </c>
      <c r="G1580" s="10" t="str">
        <f aca="false">IF($B1580="","",IF($D1580="","未還","已還"))</f>
        <v/>
      </c>
    </row>
    <row r="1581" customFormat="false" ht="15" hidden="false" customHeight="false" outlineLevel="0" collapsed="false">
      <c r="E1581" s="9" t="str">
        <f aca="false">IF($B1581="","",IFERROR(INDEX(書籍!$B$2:$B$2000,MATCH($B1581,書籍!$A$2:$A$2000,0)),"（沒建檔）"))</f>
        <v/>
      </c>
      <c r="F1581" s="9" t="str">
        <f aca="false">IF($A1581="","",IFERROR(INDEX(會員!$B$2:$B$2000,MATCH($A1581,會員!$A$2:$A$2000,0)),"（沒建檔）"))</f>
        <v/>
      </c>
      <c r="G1581" s="10" t="str">
        <f aca="false">IF($B1581="","",IF($D1581="","未還","已還"))</f>
        <v/>
      </c>
    </row>
    <row r="1582" customFormat="false" ht="15" hidden="false" customHeight="false" outlineLevel="0" collapsed="false">
      <c r="E1582" s="9" t="str">
        <f aca="false">IF($B1582="","",IFERROR(INDEX(書籍!$B$2:$B$2000,MATCH($B1582,書籍!$A$2:$A$2000,0)),"（沒建檔）"))</f>
        <v/>
      </c>
      <c r="F1582" s="9" t="str">
        <f aca="false">IF($A1582="","",IFERROR(INDEX(會員!$B$2:$B$2000,MATCH($A1582,會員!$A$2:$A$2000,0)),"（沒建檔）"))</f>
        <v/>
      </c>
      <c r="G1582" s="10" t="str">
        <f aca="false">IF($B1582="","",IF($D1582="","未還","已還"))</f>
        <v/>
      </c>
    </row>
    <row r="1583" customFormat="false" ht="15" hidden="false" customHeight="false" outlineLevel="0" collapsed="false">
      <c r="E1583" s="9" t="str">
        <f aca="false">IF($B1583="","",IFERROR(INDEX(書籍!$B$2:$B$2000,MATCH($B1583,書籍!$A$2:$A$2000,0)),"（沒建檔）"))</f>
        <v/>
      </c>
      <c r="F1583" s="9" t="str">
        <f aca="false">IF($A1583="","",IFERROR(INDEX(會員!$B$2:$B$2000,MATCH($A1583,會員!$A$2:$A$2000,0)),"（沒建檔）"))</f>
        <v/>
      </c>
      <c r="G1583" s="10" t="str">
        <f aca="false">IF($B1583="","",IF($D1583="","未還","已還"))</f>
        <v/>
      </c>
    </row>
    <row r="1584" customFormat="false" ht="15" hidden="false" customHeight="false" outlineLevel="0" collapsed="false">
      <c r="E1584" s="9" t="str">
        <f aca="false">IF($B1584="","",IFERROR(INDEX(書籍!$B$2:$B$2000,MATCH($B1584,書籍!$A$2:$A$2000,0)),"（沒建檔）"))</f>
        <v/>
      </c>
      <c r="F1584" s="9" t="str">
        <f aca="false">IF($A1584="","",IFERROR(INDEX(會員!$B$2:$B$2000,MATCH($A1584,會員!$A$2:$A$2000,0)),"（沒建檔）"))</f>
        <v/>
      </c>
      <c r="G1584" s="10" t="str">
        <f aca="false">IF($B1584="","",IF($D1584="","未還","已還"))</f>
        <v/>
      </c>
    </row>
    <row r="1585" customFormat="false" ht="15" hidden="false" customHeight="false" outlineLevel="0" collapsed="false">
      <c r="E1585" s="9" t="str">
        <f aca="false">IF($B1585="","",IFERROR(INDEX(書籍!$B$2:$B$2000,MATCH($B1585,書籍!$A$2:$A$2000,0)),"（沒建檔）"))</f>
        <v/>
      </c>
      <c r="F1585" s="9" t="str">
        <f aca="false">IF($A1585="","",IFERROR(INDEX(會員!$B$2:$B$2000,MATCH($A1585,會員!$A$2:$A$2000,0)),"（沒建檔）"))</f>
        <v/>
      </c>
      <c r="G1585" s="10" t="str">
        <f aca="false">IF($B1585="","",IF($D1585="","未還","已還"))</f>
        <v/>
      </c>
    </row>
    <row r="1586" customFormat="false" ht="15" hidden="false" customHeight="false" outlineLevel="0" collapsed="false">
      <c r="E1586" s="9" t="str">
        <f aca="false">IF($B1586="","",IFERROR(INDEX(書籍!$B$2:$B$2000,MATCH($B1586,書籍!$A$2:$A$2000,0)),"（沒建檔）"))</f>
        <v/>
      </c>
      <c r="F1586" s="9" t="str">
        <f aca="false">IF($A1586="","",IFERROR(INDEX(會員!$B$2:$B$2000,MATCH($A1586,會員!$A$2:$A$2000,0)),"（沒建檔）"))</f>
        <v/>
      </c>
      <c r="G1586" s="10" t="str">
        <f aca="false">IF($B1586="","",IF($D1586="","未還","已還"))</f>
        <v/>
      </c>
    </row>
    <row r="1587" customFormat="false" ht="15" hidden="false" customHeight="false" outlineLevel="0" collapsed="false">
      <c r="E1587" s="9" t="str">
        <f aca="false">IF($B1587="","",IFERROR(INDEX(書籍!$B$2:$B$2000,MATCH($B1587,書籍!$A$2:$A$2000,0)),"（沒建檔）"))</f>
        <v/>
      </c>
      <c r="F1587" s="9" t="str">
        <f aca="false">IF($A1587="","",IFERROR(INDEX(會員!$B$2:$B$2000,MATCH($A1587,會員!$A$2:$A$2000,0)),"（沒建檔）"))</f>
        <v/>
      </c>
      <c r="G1587" s="10" t="str">
        <f aca="false">IF($B1587="","",IF($D1587="","未還","已還"))</f>
        <v/>
      </c>
    </row>
    <row r="1588" customFormat="false" ht="15" hidden="false" customHeight="false" outlineLevel="0" collapsed="false">
      <c r="E1588" s="9" t="str">
        <f aca="false">IF($B1588="","",IFERROR(INDEX(書籍!$B$2:$B$2000,MATCH($B1588,書籍!$A$2:$A$2000,0)),"（沒建檔）"))</f>
        <v/>
      </c>
      <c r="F1588" s="9" t="str">
        <f aca="false">IF($A1588="","",IFERROR(INDEX(會員!$B$2:$B$2000,MATCH($A1588,會員!$A$2:$A$2000,0)),"（沒建檔）"))</f>
        <v/>
      </c>
      <c r="G1588" s="10" t="str">
        <f aca="false">IF($B1588="","",IF($D1588="","未還","已還"))</f>
        <v/>
      </c>
    </row>
    <row r="1589" customFormat="false" ht="15" hidden="false" customHeight="false" outlineLevel="0" collapsed="false">
      <c r="E1589" s="9" t="str">
        <f aca="false">IF($B1589="","",IFERROR(INDEX(書籍!$B$2:$B$2000,MATCH($B1589,書籍!$A$2:$A$2000,0)),"（沒建檔）"))</f>
        <v/>
      </c>
      <c r="F1589" s="9" t="str">
        <f aca="false">IF($A1589="","",IFERROR(INDEX(會員!$B$2:$B$2000,MATCH($A1589,會員!$A$2:$A$2000,0)),"（沒建檔）"))</f>
        <v/>
      </c>
      <c r="G1589" s="10" t="str">
        <f aca="false">IF($B1589="","",IF($D1589="","未還","已還"))</f>
        <v/>
      </c>
    </row>
    <row r="1590" customFormat="false" ht="15" hidden="false" customHeight="false" outlineLevel="0" collapsed="false">
      <c r="E1590" s="9" t="str">
        <f aca="false">IF($B1590="","",IFERROR(INDEX(書籍!$B$2:$B$2000,MATCH($B1590,書籍!$A$2:$A$2000,0)),"（沒建檔）"))</f>
        <v/>
      </c>
      <c r="F1590" s="9" t="str">
        <f aca="false">IF($A1590="","",IFERROR(INDEX(會員!$B$2:$B$2000,MATCH($A1590,會員!$A$2:$A$2000,0)),"（沒建檔）"))</f>
        <v/>
      </c>
      <c r="G1590" s="10" t="str">
        <f aca="false">IF($B1590="","",IF($D1590="","未還","已還"))</f>
        <v/>
      </c>
    </row>
    <row r="1591" customFormat="false" ht="15" hidden="false" customHeight="false" outlineLevel="0" collapsed="false">
      <c r="E1591" s="9" t="str">
        <f aca="false">IF($B1591="","",IFERROR(INDEX(書籍!$B$2:$B$2000,MATCH($B1591,書籍!$A$2:$A$2000,0)),"（沒建檔）"))</f>
        <v/>
      </c>
      <c r="F1591" s="9" t="str">
        <f aca="false">IF($A1591="","",IFERROR(INDEX(會員!$B$2:$B$2000,MATCH($A1591,會員!$A$2:$A$2000,0)),"（沒建檔）"))</f>
        <v/>
      </c>
      <c r="G1591" s="10" t="str">
        <f aca="false">IF($B1591="","",IF($D1591="","未還","已還"))</f>
        <v/>
      </c>
    </row>
    <row r="1592" customFormat="false" ht="15" hidden="false" customHeight="false" outlineLevel="0" collapsed="false">
      <c r="E1592" s="9" t="str">
        <f aca="false">IF($B1592="","",IFERROR(INDEX(書籍!$B$2:$B$2000,MATCH($B1592,書籍!$A$2:$A$2000,0)),"（沒建檔）"))</f>
        <v/>
      </c>
      <c r="F1592" s="9" t="str">
        <f aca="false">IF($A1592="","",IFERROR(INDEX(會員!$B$2:$B$2000,MATCH($A1592,會員!$A$2:$A$2000,0)),"（沒建檔）"))</f>
        <v/>
      </c>
      <c r="G1592" s="10" t="str">
        <f aca="false">IF($B1592="","",IF($D1592="","未還","已還"))</f>
        <v/>
      </c>
    </row>
    <row r="1593" customFormat="false" ht="15" hidden="false" customHeight="false" outlineLevel="0" collapsed="false">
      <c r="E1593" s="9" t="str">
        <f aca="false">IF($B1593="","",IFERROR(INDEX(書籍!$B$2:$B$2000,MATCH($B1593,書籍!$A$2:$A$2000,0)),"（沒建檔）"))</f>
        <v/>
      </c>
      <c r="F1593" s="9" t="str">
        <f aca="false">IF($A1593="","",IFERROR(INDEX(會員!$B$2:$B$2000,MATCH($A1593,會員!$A$2:$A$2000,0)),"（沒建檔）"))</f>
        <v/>
      </c>
      <c r="G1593" s="10" t="str">
        <f aca="false">IF($B1593="","",IF($D1593="","未還","已還"))</f>
        <v/>
      </c>
    </row>
    <row r="1594" customFormat="false" ht="15" hidden="false" customHeight="false" outlineLevel="0" collapsed="false">
      <c r="E1594" s="9" t="str">
        <f aca="false">IF($B1594="","",IFERROR(INDEX(書籍!$B$2:$B$2000,MATCH($B1594,書籍!$A$2:$A$2000,0)),"（沒建檔）"))</f>
        <v/>
      </c>
      <c r="F1594" s="9" t="str">
        <f aca="false">IF($A1594="","",IFERROR(INDEX(會員!$B$2:$B$2000,MATCH($A1594,會員!$A$2:$A$2000,0)),"（沒建檔）"))</f>
        <v/>
      </c>
      <c r="G1594" s="10" t="str">
        <f aca="false">IF($B1594="","",IF($D1594="","未還","已還"))</f>
        <v/>
      </c>
    </row>
    <row r="1595" customFormat="false" ht="15" hidden="false" customHeight="false" outlineLevel="0" collapsed="false">
      <c r="E1595" s="9" t="str">
        <f aca="false">IF($B1595="","",IFERROR(INDEX(書籍!$B$2:$B$2000,MATCH($B1595,書籍!$A$2:$A$2000,0)),"（沒建檔）"))</f>
        <v/>
      </c>
      <c r="F1595" s="9" t="str">
        <f aca="false">IF($A1595="","",IFERROR(INDEX(會員!$B$2:$B$2000,MATCH($A1595,會員!$A$2:$A$2000,0)),"（沒建檔）"))</f>
        <v/>
      </c>
      <c r="G1595" s="10" t="str">
        <f aca="false">IF($B1595="","",IF($D1595="","未還","已還"))</f>
        <v/>
      </c>
    </row>
    <row r="1596" customFormat="false" ht="15" hidden="false" customHeight="false" outlineLevel="0" collapsed="false">
      <c r="E1596" s="9" t="str">
        <f aca="false">IF($B1596="","",IFERROR(INDEX(書籍!$B$2:$B$2000,MATCH($B1596,書籍!$A$2:$A$2000,0)),"（沒建檔）"))</f>
        <v/>
      </c>
      <c r="F1596" s="9" t="str">
        <f aca="false">IF($A1596="","",IFERROR(INDEX(會員!$B$2:$B$2000,MATCH($A1596,會員!$A$2:$A$2000,0)),"（沒建檔）"))</f>
        <v/>
      </c>
      <c r="G1596" s="10" t="str">
        <f aca="false">IF($B1596="","",IF($D1596="","未還","已還"))</f>
        <v/>
      </c>
    </row>
    <row r="1597" customFormat="false" ht="15" hidden="false" customHeight="false" outlineLevel="0" collapsed="false">
      <c r="E1597" s="9" t="str">
        <f aca="false">IF($B1597="","",IFERROR(INDEX(書籍!$B$2:$B$2000,MATCH($B1597,書籍!$A$2:$A$2000,0)),"（沒建檔）"))</f>
        <v/>
      </c>
      <c r="F1597" s="9" t="str">
        <f aca="false">IF($A1597="","",IFERROR(INDEX(會員!$B$2:$B$2000,MATCH($A1597,會員!$A$2:$A$2000,0)),"（沒建檔）"))</f>
        <v/>
      </c>
      <c r="G1597" s="10" t="str">
        <f aca="false">IF($B1597="","",IF($D1597="","未還","已還"))</f>
        <v/>
      </c>
    </row>
    <row r="1598" customFormat="false" ht="15" hidden="false" customHeight="false" outlineLevel="0" collapsed="false">
      <c r="E1598" s="9" t="str">
        <f aca="false">IF($B1598="","",IFERROR(INDEX(書籍!$B$2:$B$2000,MATCH($B1598,書籍!$A$2:$A$2000,0)),"（沒建檔）"))</f>
        <v/>
      </c>
      <c r="F1598" s="9" t="str">
        <f aca="false">IF($A1598="","",IFERROR(INDEX(會員!$B$2:$B$2000,MATCH($A1598,會員!$A$2:$A$2000,0)),"（沒建檔）"))</f>
        <v/>
      </c>
      <c r="G1598" s="10" t="str">
        <f aca="false">IF($B1598="","",IF($D1598="","未還","已還"))</f>
        <v/>
      </c>
    </row>
    <row r="1599" customFormat="false" ht="15" hidden="false" customHeight="false" outlineLevel="0" collapsed="false">
      <c r="E1599" s="9" t="str">
        <f aca="false">IF($B1599="","",IFERROR(INDEX(書籍!$B$2:$B$2000,MATCH($B1599,書籍!$A$2:$A$2000,0)),"（沒建檔）"))</f>
        <v/>
      </c>
      <c r="F1599" s="9" t="str">
        <f aca="false">IF($A1599="","",IFERROR(INDEX(會員!$B$2:$B$2000,MATCH($A1599,會員!$A$2:$A$2000,0)),"（沒建檔）"))</f>
        <v/>
      </c>
      <c r="G1599" s="10" t="str">
        <f aca="false">IF($B1599="","",IF($D1599="","未還","已還"))</f>
        <v/>
      </c>
    </row>
    <row r="1600" customFormat="false" ht="15" hidden="false" customHeight="false" outlineLevel="0" collapsed="false">
      <c r="E1600" s="9" t="str">
        <f aca="false">IF($B1600="","",IFERROR(INDEX(書籍!$B$2:$B$2000,MATCH($B1600,書籍!$A$2:$A$2000,0)),"（沒建檔）"))</f>
        <v/>
      </c>
      <c r="F1600" s="9" t="str">
        <f aca="false">IF($A1600="","",IFERROR(INDEX(會員!$B$2:$B$2000,MATCH($A1600,會員!$A$2:$A$2000,0)),"（沒建檔）"))</f>
        <v/>
      </c>
      <c r="G1600" s="10" t="str">
        <f aca="false">IF($B1600="","",IF($D1600="","未還","已還"))</f>
        <v/>
      </c>
    </row>
    <row r="1601" customFormat="false" ht="15" hidden="false" customHeight="false" outlineLevel="0" collapsed="false">
      <c r="E1601" s="9" t="str">
        <f aca="false">IF($B1601="","",IFERROR(INDEX(書籍!$B$2:$B$2000,MATCH($B1601,書籍!$A$2:$A$2000,0)),"（沒建檔）"))</f>
        <v/>
      </c>
      <c r="F1601" s="9" t="str">
        <f aca="false">IF($A1601="","",IFERROR(INDEX(會員!$B$2:$B$2000,MATCH($A1601,會員!$A$2:$A$2000,0)),"（沒建檔）"))</f>
        <v/>
      </c>
      <c r="G1601" s="10" t="str">
        <f aca="false">IF($B1601="","",IF($D1601="","未還","已還"))</f>
        <v/>
      </c>
    </row>
    <row r="1602" customFormat="false" ht="15" hidden="false" customHeight="false" outlineLevel="0" collapsed="false">
      <c r="E1602" s="9" t="str">
        <f aca="false">IF($B1602="","",IFERROR(INDEX(書籍!$B$2:$B$2000,MATCH($B1602,書籍!$A$2:$A$2000,0)),"（沒建檔）"))</f>
        <v/>
      </c>
      <c r="F1602" s="9" t="str">
        <f aca="false">IF($A1602="","",IFERROR(INDEX(會員!$B$2:$B$2000,MATCH($A1602,會員!$A$2:$A$2000,0)),"（沒建檔）"))</f>
        <v/>
      </c>
      <c r="G1602" s="10" t="str">
        <f aca="false">IF($B1602="","",IF($D1602="","未還","已還"))</f>
        <v/>
      </c>
    </row>
    <row r="1603" customFormat="false" ht="15" hidden="false" customHeight="false" outlineLevel="0" collapsed="false">
      <c r="E1603" s="9" t="str">
        <f aca="false">IF($B1603="","",IFERROR(INDEX(書籍!$B$2:$B$2000,MATCH($B1603,書籍!$A$2:$A$2000,0)),"（沒建檔）"))</f>
        <v/>
      </c>
      <c r="F1603" s="9" t="str">
        <f aca="false">IF($A1603="","",IFERROR(INDEX(會員!$B$2:$B$2000,MATCH($A1603,會員!$A$2:$A$2000,0)),"（沒建檔）"))</f>
        <v/>
      </c>
      <c r="G1603" s="10" t="str">
        <f aca="false">IF($B1603="","",IF($D1603="","未還","已還"))</f>
        <v/>
      </c>
    </row>
    <row r="1604" customFormat="false" ht="15" hidden="false" customHeight="false" outlineLevel="0" collapsed="false">
      <c r="E1604" s="9" t="str">
        <f aca="false">IF($B1604="","",IFERROR(INDEX(書籍!$B$2:$B$2000,MATCH($B1604,書籍!$A$2:$A$2000,0)),"（沒建檔）"))</f>
        <v/>
      </c>
      <c r="F1604" s="9" t="str">
        <f aca="false">IF($A1604="","",IFERROR(INDEX(會員!$B$2:$B$2000,MATCH($A1604,會員!$A$2:$A$2000,0)),"（沒建檔）"))</f>
        <v/>
      </c>
      <c r="G1604" s="10" t="str">
        <f aca="false">IF($B1604="","",IF($D1604="","未還","已還"))</f>
        <v/>
      </c>
    </row>
    <row r="1605" customFormat="false" ht="15" hidden="false" customHeight="false" outlineLevel="0" collapsed="false">
      <c r="E1605" s="9" t="str">
        <f aca="false">IF($B1605="","",IFERROR(INDEX(書籍!$B$2:$B$2000,MATCH($B1605,書籍!$A$2:$A$2000,0)),"（沒建檔）"))</f>
        <v/>
      </c>
      <c r="F1605" s="9" t="str">
        <f aca="false">IF($A1605="","",IFERROR(INDEX(會員!$B$2:$B$2000,MATCH($A1605,會員!$A$2:$A$2000,0)),"（沒建檔）"))</f>
        <v/>
      </c>
      <c r="G1605" s="10" t="str">
        <f aca="false">IF($B1605="","",IF($D1605="","未還","已還"))</f>
        <v/>
      </c>
    </row>
    <row r="1606" customFormat="false" ht="15" hidden="false" customHeight="false" outlineLevel="0" collapsed="false">
      <c r="E1606" s="9" t="str">
        <f aca="false">IF($B1606="","",IFERROR(INDEX(書籍!$B$2:$B$2000,MATCH($B1606,書籍!$A$2:$A$2000,0)),"（沒建檔）"))</f>
        <v/>
      </c>
      <c r="F1606" s="9" t="str">
        <f aca="false">IF($A1606="","",IFERROR(INDEX(會員!$B$2:$B$2000,MATCH($A1606,會員!$A$2:$A$2000,0)),"（沒建檔）"))</f>
        <v/>
      </c>
      <c r="G1606" s="10" t="str">
        <f aca="false">IF($B1606="","",IF($D1606="","未還","已還"))</f>
        <v/>
      </c>
    </row>
    <row r="1607" customFormat="false" ht="15" hidden="false" customHeight="false" outlineLevel="0" collapsed="false">
      <c r="E1607" s="9" t="str">
        <f aca="false">IF($B1607="","",IFERROR(INDEX(書籍!$B$2:$B$2000,MATCH($B1607,書籍!$A$2:$A$2000,0)),"（沒建檔）"))</f>
        <v/>
      </c>
      <c r="F1607" s="9" t="str">
        <f aca="false">IF($A1607="","",IFERROR(INDEX(會員!$B$2:$B$2000,MATCH($A1607,會員!$A$2:$A$2000,0)),"（沒建檔）"))</f>
        <v/>
      </c>
      <c r="G1607" s="10" t="str">
        <f aca="false">IF($B1607="","",IF($D1607="","未還","已還"))</f>
        <v/>
      </c>
    </row>
    <row r="1608" customFormat="false" ht="15" hidden="false" customHeight="false" outlineLevel="0" collapsed="false">
      <c r="E1608" s="9" t="str">
        <f aca="false">IF($B1608="","",IFERROR(INDEX(書籍!$B$2:$B$2000,MATCH($B1608,書籍!$A$2:$A$2000,0)),"（沒建檔）"))</f>
        <v/>
      </c>
      <c r="F1608" s="9" t="str">
        <f aca="false">IF($A1608="","",IFERROR(INDEX(會員!$B$2:$B$2000,MATCH($A1608,會員!$A$2:$A$2000,0)),"（沒建檔）"))</f>
        <v/>
      </c>
      <c r="G1608" s="10" t="str">
        <f aca="false">IF($B1608="","",IF($D1608="","未還","已還"))</f>
        <v/>
      </c>
    </row>
    <row r="1609" customFormat="false" ht="15" hidden="false" customHeight="false" outlineLevel="0" collapsed="false">
      <c r="E1609" s="9" t="str">
        <f aca="false">IF($B1609="","",IFERROR(INDEX(書籍!$B$2:$B$2000,MATCH($B1609,書籍!$A$2:$A$2000,0)),"（沒建檔）"))</f>
        <v/>
      </c>
      <c r="F1609" s="9" t="str">
        <f aca="false">IF($A1609="","",IFERROR(INDEX(會員!$B$2:$B$2000,MATCH($A1609,會員!$A$2:$A$2000,0)),"（沒建檔）"))</f>
        <v/>
      </c>
      <c r="G1609" s="10" t="str">
        <f aca="false">IF($B1609="","",IF($D1609="","未還","已還"))</f>
        <v/>
      </c>
    </row>
    <row r="1610" customFormat="false" ht="15" hidden="false" customHeight="false" outlineLevel="0" collapsed="false">
      <c r="E1610" s="9" t="str">
        <f aca="false">IF($B1610="","",IFERROR(INDEX(書籍!$B$2:$B$2000,MATCH($B1610,書籍!$A$2:$A$2000,0)),"（沒建檔）"))</f>
        <v/>
      </c>
      <c r="F1610" s="9" t="str">
        <f aca="false">IF($A1610="","",IFERROR(INDEX(會員!$B$2:$B$2000,MATCH($A1610,會員!$A$2:$A$2000,0)),"（沒建檔）"))</f>
        <v/>
      </c>
      <c r="G1610" s="10" t="str">
        <f aca="false">IF($B1610="","",IF($D1610="","未還","已還"))</f>
        <v/>
      </c>
    </row>
    <row r="1611" customFormat="false" ht="15" hidden="false" customHeight="false" outlineLevel="0" collapsed="false">
      <c r="E1611" s="9" t="str">
        <f aca="false">IF($B1611="","",IFERROR(INDEX(書籍!$B$2:$B$2000,MATCH($B1611,書籍!$A$2:$A$2000,0)),"（沒建檔）"))</f>
        <v/>
      </c>
      <c r="F1611" s="9" t="str">
        <f aca="false">IF($A1611="","",IFERROR(INDEX(會員!$B$2:$B$2000,MATCH($A1611,會員!$A$2:$A$2000,0)),"（沒建檔）"))</f>
        <v/>
      </c>
      <c r="G1611" s="10" t="str">
        <f aca="false">IF($B1611="","",IF($D1611="","未還","已還"))</f>
        <v/>
      </c>
    </row>
    <row r="1612" customFormat="false" ht="15" hidden="false" customHeight="false" outlineLevel="0" collapsed="false">
      <c r="E1612" s="9" t="str">
        <f aca="false">IF($B1612="","",IFERROR(INDEX(書籍!$B$2:$B$2000,MATCH($B1612,書籍!$A$2:$A$2000,0)),"（沒建檔）"))</f>
        <v/>
      </c>
      <c r="F1612" s="9" t="str">
        <f aca="false">IF($A1612="","",IFERROR(INDEX(會員!$B$2:$B$2000,MATCH($A1612,會員!$A$2:$A$2000,0)),"（沒建檔）"))</f>
        <v/>
      </c>
      <c r="G1612" s="10" t="str">
        <f aca="false">IF($B1612="","",IF($D1612="","未還","已還"))</f>
        <v/>
      </c>
    </row>
    <row r="1613" customFormat="false" ht="15" hidden="false" customHeight="false" outlineLevel="0" collapsed="false">
      <c r="E1613" s="9" t="str">
        <f aca="false">IF($B1613="","",IFERROR(INDEX(書籍!$B$2:$B$2000,MATCH($B1613,書籍!$A$2:$A$2000,0)),"（沒建檔）"))</f>
        <v/>
      </c>
      <c r="F1613" s="9" t="str">
        <f aca="false">IF($A1613="","",IFERROR(INDEX(會員!$B$2:$B$2000,MATCH($A1613,會員!$A$2:$A$2000,0)),"（沒建檔）"))</f>
        <v/>
      </c>
      <c r="G1613" s="10" t="str">
        <f aca="false">IF($B1613="","",IF($D1613="","未還","已還"))</f>
        <v/>
      </c>
    </row>
    <row r="1614" customFormat="false" ht="15" hidden="false" customHeight="false" outlineLevel="0" collapsed="false">
      <c r="E1614" s="9" t="str">
        <f aca="false">IF($B1614="","",IFERROR(INDEX(書籍!$B$2:$B$2000,MATCH($B1614,書籍!$A$2:$A$2000,0)),"（沒建檔）"))</f>
        <v/>
      </c>
      <c r="F1614" s="9" t="str">
        <f aca="false">IF($A1614="","",IFERROR(INDEX(會員!$B$2:$B$2000,MATCH($A1614,會員!$A$2:$A$2000,0)),"（沒建檔）"))</f>
        <v/>
      </c>
      <c r="G1614" s="10" t="str">
        <f aca="false">IF($B1614="","",IF($D1614="","未還","已還"))</f>
        <v/>
      </c>
    </row>
    <row r="1615" customFormat="false" ht="15" hidden="false" customHeight="false" outlineLevel="0" collapsed="false">
      <c r="E1615" s="9" t="str">
        <f aca="false">IF($B1615="","",IFERROR(INDEX(書籍!$B$2:$B$2000,MATCH($B1615,書籍!$A$2:$A$2000,0)),"（沒建檔）"))</f>
        <v/>
      </c>
      <c r="F1615" s="9" t="str">
        <f aca="false">IF($A1615="","",IFERROR(INDEX(會員!$B$2:$B$2000,MATCH($A1615,會員!$A$2:$A$2000,0)),"（沒建檔）"))</f>
        <v/>
      </c>
      <c r="G1615" s="10" t="str">
        <f aca="false">IF($B1615="","",IF($D1615="","未還","已還"))</f>
        <v/>
      </c>
    </row>
    <row r="1616" customFormat="false" ht="15" hidden="false" customHeight="false" outlineLevel="0" collapsed="false">
      <c r="E1616" s="9" t="str">
        <f aca="false">IF($B1616="","",IFERROR(INDEX(書籍!$B$2:$B$2000,MATCH($B1616,書籍!$A$2:$A$2000,0)),"（沒建檔）"))</f>
        <v/>
      </c>
      <c r="F1616" s="9" t="str">
        <f aca="false">IF($A1616="","",IFERROR(INDEX(會員!$B$2:$B$2000,MATCH($A1616,會員!$A$2:$A$2000,0)),"（沒建檔）"))</f>
        <v/>
      </c>
      <c r="G1616" s="10" t="str">
        <f aca="false">IF($B1616="","",IF($D1616="","未還","已還"))</f>
        <v/>
      </c>
    </row>
    <row r="1617" customFormat="false" ht="15" hidden="false" customHeight="false" outlineLevel="0" collapsed="false">
      <c r="E1617" s="9" t="str">
        <f aca="false">IF($B1617="","",IFERROR(INDEX(書籍!$B$2:$B$2000,MATCH($B1617,書籍!$A$2:$A$2000,0)),"（沒建檔）"))</f>
        <v/>
      </c>
      <c r="F1617" s="9" t="str">
        <f aca="false">IF($A1617="","",IFERROR(INDEX(會員!$B$2:$B$2000,MATCH($A1617,會員!$A$2:$A$2000,0)),"（沒建檔）"))</f>
        <v/>
      </c>
      <c r="G1617" s="10" t="str">
        <f aca="false">IF($B1617="","",IF($D1617="","未還","已還"))</f>
        <v/>
      </c>
    </row>
    <row r="1618" customFormat="false" ht="15" hidden="false" customHeight="false" outlineLevel="0" collapsed="false">
      <c r="E1618" s="9" t="str">
        <f aca="false">IF($B1618="","",IFERROR(INDEX(書籍!$B$2:$B$2000,MATCH($B1618,書籍!$A$2:$A$2000,0)),"（沒建檔）"))</f>
        <v/>
      </c>
      <c r="F1618" s="9" t="str">
        <f aca="false">IF($A1618="","",IFERROR(INDEX(會員!$B$2:$B$2000,MATCH($A1618,會員!$A$2:$A$2000,0)),"（沒建檔）"))</f>
        <v/>
      </c>
      <c r="G1618" s="10" t="str">
        <f aca="false">IF($B1618="","",IF($D1618="","未還","已還"))</f>
        <v/>
      </c>
    </row>
    <row r="1619" customFormat="false" ht="15" hidden="false" customHeight="false" outlineLevel="0" collapsed="false">
      <c r="E1619" s="9" t="str">
        <f aca="false">IF($B1619="","",IFERROR(INDEX(書籍!$B$2:$B$2000,MATCH($B1619,書籍!$A$2:$A$2000,0)),"（沒建檔）"))</f>
        <v/>
      </c>
      <c r="F1619" s="9" t="str">
        <f aca="false">IF($A1619="","",IFERROR(INDEX(會員!$B$2:$B$2000,MATCH($A1619,會員!$A$2:$A$2000,0)),"（沒建檔）"))</f>
        <v/>
      </c>
      <c r="G1619" s="10" t="str">
        <f aca="false">IF($B1619="","",IF($D1619="","未還","已還"))</f>
        <v/>
      </c>
    </row>
    <row r="1620" customFormat="false" ht="15" hidden="false" customHeight="false" outlineLevel="0" collapsed="false">
      <c r="E1620" s="9" t="str">
        <f aca="false">IF($B1620="","",IFERROR(INDEX(書籍!$B$2:$B$2000,MATCH($B1620,書籍!$A$2:$A$2000,0)),"（沒建檔）"))</f>
        <v/>
      </c>
      <c r="F1620" s="9" t="str">
        <f aca="false">IF($A1620="","",IFERROR(INDEX(會員!$B$2:$B$2000,MATCH($A1620,會員!$A$2:$A$2000,0)),"（沒建檔）"))</f>
        <v/>
      </c>
      <c r="G1620" s="10" t="str">
        <f aca="false">IF($B1620="","",IF($D1620="","未還","已還"))</f>
        <v/>
      </c>
    </row>
    <row r="1621" customFormat="false" ht="15" hidden="false" customHeight="false" outlineLevel="0" collapsed="false">
      <c r="E1621" s="9" t="str">
        <f aca="false">IF($B1621="","",IFERROR(INDEX(書籍!$B$2:$B$2000,MATCH($B1621,書籍!$A$2:$A$2000,0)),"（沒建檔）"))</f>
        <v/>
      </c>
      <c r="F1621" s="9" t="str">
        <f aca="false">IF($A1621="","",IFERROR(INDEX(會員!$B$2:$B$2000,MATCH($A1621,會員!$A$2:$A$2000,0)),"（沒建檔）"))</f>
        <v/>
      </c>
      <c r="G1621" s="10" t="str">
        <f aca="false">IF($B1621="","",IF($D1621="","未還","已還"))</f>
        <v/>
      </c>
    </row>
    <row r="1622" customFormat="false" ht="15" hidden="false" customHeight="false" outlineLevel="0" collapsed="false">
      <c r="E1622" s="9" t="str">
        <f aca="false">IF($B1622="","",IFERROR(INDEX(書籍!$B$2:$B$2000,MATCH($B1622,書籍!$A$2:$A$2000,0)),"（沒建檔）"))</f>
        <v/>
      </c>
      <c r="F1622" s="9" t="str">
        <f aca="false">IF($A1622="","",IFERROR(INDEX(會員!$B$2:$B$2000,MATCH($A1622,會員!$A$2:$A$2000,0)),"（沒建檔）"))</f>
        <v/>
      </c>
      <c r="G1622" s="10" t="str">
        <f aca="false">IF($B1622="","",IF($D1622="","未還","已還"))</f>
        <v/>
      </c>
    </row>
    <row r="1623" customFormat="false" ht="15" hidden="false" customHeight="false" outlineLevel="0" collapsed="false">
      <c r="E1623" s="9" t="str">
        <f aca="false">IF($B1623="","",IFERROR(INDEX(書籍!$B$2:$B$2000,MATCH($B1623,書籍!$A$2:$A$2000,0)),"（沒建檔）"))</f>
        <v/>
      </c>
      <c r="F1623" s="9" t="str">
        <f aca="false">IF($A1623="","",IFERROR(INDEX(會員!$B$2:$B$2000,MATCH($A1623,會員!$A$2:$A$2000,0)),"（沒建檔）"))</f>
        <v/>
      </c>
      <c r="G1623" s="10" t="str">
        <f aca="false">IF($B1623="","",IF($D1623="","未還","已還"))</f>
        <v/>
      </c>
    </row>
    <row r="1624" customFormat="false" ht="15" hidden="false" customHeight="false" outlineLevel="0" collapsed="false">
      <c r="E1624" s="9" t="str">
        <f aca="false">IF($B1624="","",IFERROR(INDEX(書籍!$B$2:$B$2000,MATCH($B1624,書籍!$A$2:$A$2000,0)),"（沒建檔）"))</f>
        <v/>
      </c>
      <c r="F1624" s="9" t="str">
        <f aca="false">IF($A1624="","",IFERROR(INDEX(會員!$B$2:$B$2000,MATCH($A1624,會員!$A$2:$A$2000,0)),"（沒建檔）"))</f>
        <v/>
      </c>
      <c r="G1624" s="10" t="str">
        <f aca="false">IF($B1624="","",IF($D1624="","未還","已還"))</f>
        <v/>
      </c>
    </row>
    <row r="1625" customFormat="false" ht="15" hidden="false" customHeight="false" outlineLevel="0" collapsed="false">
      <c r="E1625" s="9" t="str">
        <f aca="false">IF($B1625="","",IFERROR(INDEX(書籍!$B$2:$B$2000,MATCH($B1625,書籍!$A$2:$A$2000,0)),"（沒建檔）"))</f>
        <v/>
      </c>
      <c r="F1625" s="9" t="str">
        <f aca="false">IF($A1625="","",IFERROR(INDEX(會員!$B$2:$B$2000,MATCH($A1625,會員!$A$2:$A$2000,0)),"（沒建檔）"))</f>
        <v/>
      </c>
      <c r="G1625" s="10" t="str">
        <f aca="false">IF($B1625="","",IF($D1625="","未還","已還"))</f>
        <v/>
      </c>
    </row>
    <row r="1626" customFormat="false" ht="15" hidden="false" customHeight="false" outlineLevel="0" collapsed="false">
      <c r="E1626" s="9" t="str">
        <f aca="false">IF($B1626="","",IFERROR(INDEX(書籍!$B$2:$B$2000,MATCH($B1626,書籍!$A$2:$A$2000,0)),"（沒建檔）"))</f>
        <v/>
      </c>
      <c r="F1626" s="9" t="str">
        <f aca="false">IF($A1626="","",IFERROR(INDEX(會員!$B$2:$B$2000,MATCH($A1626,會員!$A$2:$A$2000,0)),"（沒建檔）"))</f>
        <v/>
      </c>
      <c r="G1626" s="10" t="str">
        <f aca="false">IF($B1626="","",IF($D1626="","未還","已還"))</f>
        <v/>
      </c>
    </row>
    <row r="1627" customFormat="false" ht="15" hidden="false" customHeight="false" outlineLevel="0" collapsed="false">
      <c r="E1627" s="9" t="str">
        <f aca="false">IF($B1627="","",IFERROR(INDEX(書籍!$B$2:$B$2000,MATCH($B1627,書籍!$A$2:$A$2000,0)),"（沒建檔）"))</f>
        <v/>
      </c>
      <c r="F1627" s="9" t="str">
        <f aca="false">IF($A1627="","",IFERROR(INDEX(會員!$B$2:$B$2000,MATCH($A1627,會員!$A$2:$A$2000,0)),"（沒建檔）"))</f>
        <v/>
      </c>
      <c r="G1627" s="10" t="str">
        <f aca="false">IF($B1627="","",IF($D1627="","未還","已還"))</f>
        <v/>
      </c>
    </row>
    <row r="1628" customFormat="false" ht="15" hidden="false" customHeight="false" outlineLevel="0" collapsed="false">
      <c r="E1628" s="9" t="str">
        <f aca="false">IF($B1628="","",IFERROR(INDEX(書籍!$B$2:$B$2000,MATCH($B1628,書籍!$A$2:$A$2000,0)),"（沒建檔）"))</f>
        <v/>
      </c>
      <c r="F1628" s="9" t="str">
        <f aca="false">IF($A1628="","",IFERROR(INDEX(會員!$B$2:$B$2000,MATCH($A1628,會員!$A$2:$A$2000,0)),"（沒建檔）"))</f>
        <v/>
      </c>
      <c r="G1628" s="10" t="str">
        <f aca="false">IF($B1628="","",IF($D1628="","未還","已還"))</f>
        <v/>
      </c>
    </row>
    <row r="1629" customFormat="false" ht="15" hidden="false" customHeight="false" outlineLevel="0" collapsed="false">
      <c r="E1629" s="9" t="str">
        <f aca="false">IF($B1629="","",IFERROR(INDEX(書籍!$B$2:$B$2000,MATCH($B1629,書籍!$A$2:$A$2000,0)),"（沒建檔）"))</f>
        <v/>
      </c>
      <c r="F1629" s="9" t="str">
        <f aca="false">IF($A1629="","",IFERROR(INDEX(會員!$B$2:$B$2000,MATCH($A1629,會員!$A$2:$A$2000,0)),"（沒建檔）"))</f>
        <v/>
      </c>
      <c r="G1629" s="10" t="str">
        <f aca="false">IF($B1629="","",IF($D1629="","未還","已還"))</f>
        <v/>
      </c>
    </row>
    <row r="1630" customFormat="false" ht="15" hidden="false" customHeight="false" outlineLevel="0" collapsed="false">
      <c r="E1630" s="9" t="str">
        <f aca="false">IF($B1630="","",IFERROR(INDEX(書籍!$B$2:$B$2000,MATCH($B1630,書籍!$A$2:$A$2000,0)),"（沒建檔）"))</f>
        <v/>
      </c>
      <c r="F1630" s="9" t="str">
        <f aca="false">IF($A1630="","",IFERROR(INDEX(會員!$B$2:$B$2000,MATCH($A1630,會員!$A$2:$A$2000,0)),"（沒建檔）"))</f>
        <v/>
      </c>
      <c r="G1630" s="10" t="str">
        <f aca="false">IF($B1630="","",IF($D1630="","未還","已還"))</f>
        <v/>
      </c>
    </row>
    <row r="1631" customFormat="false" ht="15" hidden="false" customHeight="false" outlineLevel="0" collapsed="false">
      <c r="E1631" s="9" t="str">
        <f aca="false">IF($B1631="","",IFERROR(INDEX(書籍!$B$2:$B$2000,MATCH($B1631,書籍!$A$2:$A$2000,0)),"（沒建檔）"))</f>
        <v/>
      </c>
      <c r="F1631" s="9" t="str">
        <f aca="false">IF($A1631="","",IFERROR(INDEX(會員!$B$2:$B$2000,MATCH($A1631,會員!$A$2:$A$2000,0)),"（沒建檔）"))</f>
        <v/>
      </c>
      <c r="G1631" s="10" t="str">
        <f aca="false">IF($B1631="","",IF($D1631="","未還","已還"))</f>
        <v/>
      </c>
    </row>
    <row r="1632" customFormat="false" ht="15" hidden="false" customHeight="false" outlineLevel="0" collapsed="false">
      <c r="E1632" s="9" t="str">
        <f aca="false">IF($B1632="","",IFERROR(INDEX(書籍!$B$2:$B$2000,MATCH($B1632,書籍!$A$2:$A$2000,0)),"（沒建檔）"))</f>
        <v/>
      </c>
      <c r="F1632" s="9" t="str">
        <f aca="false">IF($A1632="","",IFERROR(INDEX(會員!$B$2:$B$2000,MATCH($A1632,會員!$A$2:$A$2000,0)),"（沒建檔）"))</f>
        <v/>
      </c>
      <c r="G1632" s="10" t="str">
        <f aca="false">IF($B1632="","",IF($D1632="","未還","已還"))</f>
        <v/>
      </c>
    </row>
    <row r="1633" customFormat="false" ht="15" hidden="false" customHeight="false" outlineLevel="0" collapsed="false">
      <c r="E1633" s="9" t="str">
        <f aca="false">IF($B1633="","",IFERROR(INDEX(書籍!$B$2:$B$2000,MATCH($B1633,書籍!$A$2:$A$2000,0)),"（沒建檔）"))</f>
        <v/>
      </c>
      <c r="F1633" s="9" t="str">
        <f aca="false">IF($A1633="","",IFERROR(INDEX(會員!$B$2:$B$2000,MATCH($A1633,會員!$A$2:$A$2000,0)),"（沒建檔）"))</f>
        <v/>
      </c>
      <c r="G1633" s="10" t="str">
        <f aca="false">IF($B1633="","",IF($D1633="","未還","已還"))</f>
        <v/>
      </c>
    </row>
    <row r="1634" customFormat="false" ht="15" hidden="false" customHeight="false" outlineLevel="0" collapsed="false">
      <c r="E1634" s="9" t="str">
        <f aca="false">IF($B1634="","",IFERROR(INDEX(書籍!$B$2:$B$2000,MATCH($B1634,書籍!$A$2:$A$2000,0)),"（沒建檔）"))</f>
        <v/>
      </c>
      <c r="F1634" s="9" t="str">
        <f aca="false">IF($A1634="","",IFERROR(INDEX(會員!$B$2:$B$2000,MATCH($A1634,會員!$A$2:$A$2000,0)),"（沒建檔）"))</f>
        <v/>
      </c>
      <c r="G1634" s="10" t="str">
        <f aca="false">IF($B1634="","",IF($D1634="","未還","已還"))</f>
        <v/>
      </c>
    </row>
    <row r="1635" customFormat="false" ht="15" hidden="false" customHeight="false" outlineLevel="0" collapsed="false">
      <c r="E1635" s="9" t="str">
        <f aca="false">IF($B1635="","",IFERROR(INDEX(書籍!$B$2:$B$2000,MATCH($B1635,書籍!$A$2:$A$2000,0)),"（沒建檔）"))</f>
        <v/>
      </c>
      <c r="F1635" s="9" t="str">
        <f aca="false">IF($A1635="","",IFERROR(INDEX(會員!$B$2:$B$2000,MATCH($A1635,會員!$A$2:$A$2000,0)),"（沒建檔）"))</f>
        <v/>
      </c>
      <c r="G1635" s="10" t="str">
        <f aca="false">IF($B1635="","",IF($D1635="","未還","已還"))</f>
        <v/>
      </c>
    </row>
    <row r="1636" customFormat="false" ht="15" hidden="false" customHeight="false" outlineLevel="0" collapsed="false">
      <c r="E1636" s="9" t="str">
        <f aca="false">IF($B1636="","",IFERROR(INDEX(書籍!$B$2:$B$2000,MATCH($B1636,書籍!$A$2:$A$2000,0)),"（沒建檔）"))</f>
        <v/>
      </c>
      <c r="F1636" s="9" t="str">
        <f aca="false">IF($A1636="","",IFERROR(INDEX(會員!$B$2:$B$2000,MATCH($A1636,會員!$A$2:$A$2000,0)),"（沒建檔）"))</f>
        <v/>
      </c>
      <c r="G1636" s="10" t="str">
        <f aca="false">IF($B1636="","",IF($D1636="","未還","已還"))</f>
        <v/>
      </c>
    </row>
    <row r="1637" customFormat="false" ht="15" hidden="false" customHeight="false" outlineLevel="0" collapsed="false">
      <c r="E1637" s="9" t="str">
        <f aca="false">IF($B1637="","",IFERROR(INDEX(書籍!$B$2:$B$2000,MATCH($B1637,書籍!$A$2:$A$2000,0)),"（沒建檔）"))</f>
        <v/>
      </c>
      <c r="F1637" s="9" t="str">
        <f aca="false">IF($A1637="","",IFERROR(INDEX(會員!$B$2:$B$2000,MATCH($A1637,會員!$A$2:$A$2000,0)),"（沒建檔）"))</f>
        <v/>
      </c>
      <c r="G1637" s="10" t="str">
        <f aca="false">IF($B1637="","",IF($D1637="","未還","已還"))</f>
        <v/>
      </c>
    </row>
    <row r="1638" customFormat="false" ht="15" hidden="false" customHeight="false" outlineLevel="0" collapsed="false">
      <c r="E1638" s="9" t="str">
        <f aca="false">IF($B1638="","",IFERROR(INDEX(書籍!$B$2:$B$2000,MATCH($B1638,書籍!$A$2:$A$2000,0)),"（沒建檔）"))</f>
        <v/>
      </c>
      <c r="F1638" s="9" t="str">
        <f aca="false">IF($A1638="","",IFERROR(INDEX(會員!$B$2:$B$2000,MATCH($A1638,會員!$A$2:$A$2000,0)),"（沒建檔）"))</f>
        <v/>
      </c>
      <c r="G1638" s="10" t="str">
        <f aca="false">IF($B1638="","",IF($D1638="","未還","已還"))</f>
        <v/>
      </c>
    </row>
    <row r="1639" customFormat="false" ht="15" hidden="false" customHeight="false" outlineLevel="0" collapsed="false">
      <c r="E1639" s="9" t="str">
        <f aca="false">IF($B1639="","",IFERROR(INDEX(書籍!$B$2:$B$2000,MATCH($B1639,書籍!$A$2:$A$2000,0)),"（沒建檔）"))</f>
        <v/>
      </c>
      <c r="F1639" s="9" t="str">
        <f aca="false">IF($A1639="","",IFERROR(INDEX(會員!$B$2:$B$2000,MATCH($A1639,會員!$A$2:$A$2000,0)),"（沒建檔）"))</f>
        <v/>
      </c>
      <c r="G1639" s="10" t="str">
        <f aca="false">IF($B1639="","",IF($D1639="","未還","已還"))</f>
        <v/>
      </c>
    </row>
    <row r="1640" customFormat="false" ht="15" hidden="false" customHeight="false" outlineLevel="0" collapsed="false">
      <c r="E1640" s="9" t="str">
        <f aca="false">IF($B1640="","",IFERROR(INDEX(書籍!$B$2:$B$2000,MATCH($B1640,書籍!$A$2:$A$2000,0)),"（沒建檔）"))</f>
        <v/>
      </c>
      <c r="F1640" s="9" t="str">
        <f aca="false">IF($A1640="","",IFERROR(INDEX(會員!$B$2:$B$2000,MATCH($A1640,會員!$A$2:$A$2000,0)),"（沒建檔）"))</f>
        <v/>
      </c>
      <c r="G1640" s="10" t="str">
        <f aca="false">IF($B1640="","",IF($D1640="","未還","已還"))</f>
        <v/>
      </c>
    </row>
    <row r="1641" customFormat="false" ht="15" hidden="false" customHeight="false" outlineLevel="0" collapsed="false">
      <c r="E1641" s="9" t="str">
        <f aca="false">IF($B1641="","",IFERROR(INDEX(書籍!$B$2:$B$2000,MATCH($B1641,書籍!$A$2:$A$2000,0)),"（沒建檔）"))</f>
        <v/>
      </c>
      <c r="F1641" s="9" t="str">
        <f aca="false">IF($A1641="","",IFERROR(INDEX(會員!$B$2:$B$2000,MATCH($A1641,會員!$A$2:$A$2000,0)),"（沒建檔）"))</f>
        <v/>
      </c>
      <c r="G1641" s="10" t="str">
        <f aca="false">IF($B1641="","",IF($D1641="","未還","已還"))</f>
        <v/>
      </c>
    </row>
    <row r="1642" customFormat="false" ht="15" hidden="false" customHeight="false" outlineLevel="0" collapsed="false">
      <c r="E1642" s="9" t="str">
        <f aca="false">IF($B1642="","",IFERROR(INDEX(書籍!$B$2:$B$2000,MATCH($B1642,書籍!$A$2:$A$2000,0)),"（沒建檔）"))</f>
        <v/>
      </c>
      <c r="F1642" s="9" t="str">
        <f aca="false">IF($A1642="","",IFERROR(INDEX(會員!$B$2:$B$2000,MATCH($A1642,會員!$A$2:$A$2000,0)),"（沒建檔）"))</f>
        <v/>
      </c>
      <c r="G1642" s="10" t="str">
        <f aca="false">IF($B1642="","",IF($D1642="","未還","已還"))</f>
        <v/>
      </c>
    </row>
    <row r="1643" customFormat="false" ht="15" hidden="false" customHeight="false" outlineLevel="0" collapsed="false">
      <c r="E1643" s="9" t="str">
        <f aca="false">IF($B1643="","",IFERROR(INDEX(書籍!$B$2:$B$2000,MATCH($B1643,書籍!$A$2:$A$2000,0)),"（沒建檔）"))</f>
        <v/>
      </c>
      <c r="F1643" s="9" t="str">
        <f aca="false">IF($A1643="","",IFERROR(INDEX(會員!$B$2:$B$2000,MATCH($A1643,會員!$A$2:$A$2000,0)),"（沒建檔）"))</f>
        <v/>
      </c>
      <c r="G1643" s="10" t="str">
        <f aca="false">IF($B1643="","",IF($D1643="","未還","已還"))</f>
        <v/>
      </c>
    </row>
    <row r="1644" customFormat="false" ht="15" hidden="false" customHeight="false" outlineLevel="0" collapsed="false">
      <c r="E1644" s="9" t="str">
        <f aca="false">IF($B1644="","",IFERROR(INDEX(書籍!$B$2:$B$2000,MATCH($B1644,書籍!$A$2:$A$2000,0)),"（沒建檔）"))</f>
        <v/>
      </c>
      <c r="F1644" s="9" t="str">
        <f aca="false">IF($A1644="","",IFERROR(INDEX(會員!$B$2:$B$2000,MATCH($A1644,會員!$A$2:$A$2000,0)),"（沒建檔）"))</f>
        <v/>
      </c>
      <c r="G1644" s="10" t="str">
        <f aca="false">IF($B1644="","",IF($D1644="","未還","已還"))</f>
        <v/>
      </c>
    </row>
    <row r="1645" customFormat="false" ht="15" hidden="false" customHeight="false" outlineLevel="0" collapsed="false">
      <c r="E1645" s="9" t="str">
        <f aca="false">IF($B1645="","",IFERROR(INDEX(書籍!$B$2:$B$2000,MATCH($B1645,書籍!$A$2:$A$2000,0)),"（沒建檔）"))</f>
        <v/>
      </c>
      <c r="F1645" s="9" t="str">
        <f aca="false">IF($A1645="","",IFERROR(INDEX(會員!$B$2:$B$2000,MATCH($A1645,會員!$A$2:$A$2000,0)),"（沒建檔）"))</f>
        <v/>
      </c>
      <c r="G1645" s="10" t="str">
        <f aca="false">IF($B1645="","",IF($D1645="","未還","已還"))</f>
        <v/>
      </c>
    </row>
    <row r="1646" customFormat="false" ht="15" hidden="false" customHeight="false" outlineLevel="0" collapsed="false">
      <c r="E1646" s="9" t="str">
        <f aca="false">IF($B1646="","",IFERROR(INDEX(書籍!$B$2:$B$2000,MATCH($B1646,書籍!$A$2:$A$2000,0)),"（沒建檔）"))</f>
        <v/>
      </c>
      <c r="F1646" s="9" t="str">
        <f aca="false">IF($A1646="","",IFERROR(INDEX(會員!$B$2:$B$2000,MATCH($A1646,會員!$A$2:$A$2000,0)),"（沒建檔）"))</f>
        <v/>
      </c>
      <c r="G1646" s="10" t="str">
        <f aca="false">IF($B1646="","",IF($D1646="","未還","已還"))</f>
        <v/>
      </c>
    </row>
    <row r="1647" customFormat="false" ht="15" hidden="false" customHeight="false" outlineLevel="0" collapsed="false">
      <c r="E1647" s="9" t="str">
        <f aca="false">IF($B1647="","",IFERROR(INDEX(書籍!$B$2:$B$2000,MATCH($B1647,書籍!$A$2:$A$2000,0)),"（沒建檔）"))</f>
        <v/>
      </c>
      <c r="F1647" s="9" t="str">
        <f aca="false">IF($A1647="","",IFERROR(INDEX(會員!$B$2:$B$2000,MATCH($A1647,會員!$A$2:$A$2000,0)),"（沒建檔）"))</f>
        <v/>
      </c>
      <c r="G1647" s="10" t="str">
        <f aca="false">IF($B1647="","",IF($D1647="","未還","已還"))</f>
        <v/>
      </c>
    </row>
    <row r="1648" customFormat="false" ht="15" hidden="false" customHeight="false" outlineLevel="0" collapsed="false">
      <c r="E1648" s="9" t="str">
        <f aca="false">IF($B1648="","",IFERROR(INDEX(書籍!$B$2:$B$2000,MATCH($B1648,書籍!$A$2:$A$2000,0)),"（沒建檔）"))</f>
        <v/>
      </c>
      <c r="F1648" s="9" t="str">
        <f aca="false">IF($A1648="","",IFERROR(INDEX(會員!$B$2:$B$2000,MATCH($A1648,會員!$A$2:$A$2000,0)),"（沒建檔）"))</f>
        <v/>
      </c>
      <c r="G1648" s="10" t="str">
        <f aca="false">IF($B1648="","",IF($D1648="","未還","已還"))</f>
        <v/>
      </c>
    </row>
    <row r="1649" customFormat="false" ht="15" hidden="false" customHeight="false" outlineLevel="0" collapsed="false">
      <c r="E1649" s="9" t="str">
        <f aca="false">IF($B1649="","",IFERROR(INDEX(書籍!$B$2:$B$2000,MATCH($B1649,書籍!$A$2:$A$2000,0)),"（沒建檔）"))</f>
        <v/>
      </c>
      <c r="F1649" s="9" t="str">
        <f aca="false">IF($A1649="","",IFERROR(INDEX(會員!$B$2:$B$2000,MATCH($A1649,會員!$A$2:$A$2000,0)),"（沒建檔）"))</f>
        <v/>
      </c>
      <c r="G1649" s="10" t="str">
        <f aca="false">IF($B1649="","",IF($D1649="","未還","已還"))</f>
        <v/>
      </c>
    </row>
    <row r="1650" customFormat="false" ht="15" hidden="false" customHeight="false" outlineLevel="0" collapsed="false">
      <c r="E1650" s="9" t="str">
        <f aca="false">IF($B1650="","",IFERROR(INDEX(書籍!$B$2:$B$2000,MATCH($B1650,書籍!$A$2:$A$2000,0)),"（沒建檔）"))</f>
        <v/>
      </c>
      <c r="F1650" s="9" t="str">
        <f aca="false">IF($A1650="","",IFERROR(INDEX(會員!$B$2:$B$2000,MATCH($A1650,會員!$A$2:$A$2000,0)),"（沒建檔）"))</f>
        <v/>
      </c>
      <c r="G1650" s="10" t="str">
        <f aca="false">IF($B1650="","",IF($D1650="","未還","已還"))</f>
        <v/>
      </c>
    </row>
    <row r="1651" customFormat="false" ht="15" hidden="false" customHeight="false" outlineLevel="0" collapsed="false">
      <c r="E1651" s="9" t="str">
        <f aca="false">IF($B1651="","",IFERROR(INDEX(書籍!$B$2:$B$2000,MATCH($B1651,書籍!$A$2:$A$2000,0)),"（沒建檔）"))</f>
        <v/>
      </c>
      <c r="F1651" s="9" t="str">
        <f aca="false">IF($A1651="","",IFERROR(INDEX(會員!$B$2:$B$2000,MATCH($A1651,會員!$A$2:$A$2000,0)),"（沒建檔）"))</f>
        <v/>
      </c>
      <c r="G1651" s="10" t="str">
        <f aca="false">IF($B1651="","",IF($D1651="","未還","已還"))</f>
        <v/>
      </c>
    </row>
    <row r="1652" customFormat="false" ht="15" hidden="false" customHeight="false" outlineLevel="0" collapsed="false">
      <c r="E1652" s="9" t="str">
        <f aca="false">IF($B1652="","",IFERROR(INDEX(書籍!$B$2:$B$2000,MATCH($B1652,書籍!$A$2:$A$2000,0)),"（沒建檔）"))</f>
        <v/>
      </c>
      <c r="F1652" s="9" t="str">
        <f aca="false">IF($A1652="","",IFERROR(INDEX(會員!$B$2:$B$2000,MATCH($A1652,會員!$A$2:$A$2000,0)),"（沒建檔）"))</f>
        <v/>
      </c>
      <c r="G1652" s="10" t="str">
        <f aca="false">IF($B1652="","",IF($D1652="","未還","已還"))</f>
        <v/>
      </c>
    </row>
    <row r="1653" customFormat="false" ht="15" hidden="false" customHeight="false" outlineLevel="0" collapsed="false">
      <c r="E1653" s="9" t="str">
        <f aca="false">IF($B1653="","",IFERROR(INDEX(書籍!$B$2:$B$2000,MATCH($B1653,書籍!$A$2:$A$2000,0)),"（沒建檔）"))</f>
        <v/>
      </c>
      <c r="F1653" s="9" t="str">
        <f aca="false">IF($A1653="","",IFERROR(INDEX(會員!$B$2:$B$2000,MATCH($A1653,會員!$A$2:$A$2000,0)),"（沒建檔）"))</f>
        <v/>
      </c>
      <c r="G1653" s="10" t="str">
        <f aca="false">IF($B1653="","",IF($D1653="","未還","已還"))</f>
        <v/>
      </c>
    </row>
    <row r="1654" customFormat="false" ht="15" hidden="false" customHeight="false" outlineLevel="0" collapsed="false">
      <c r="E1654" s="9" t="str">
        <f aca="false">IF($B1654="","",IFERROR(INDEX(書籍!$B$2:$B$2000,MATCH($B1654,書籍!$A$2:$A$2000,0)),"（沒建檔）"))</f>
        <v/>
      </c>
      <c r="F1654" s="9" t="str">
        <f aca="false">IF($A1654="","",IFERROR(INDEX(會員!$B$2:$B$2000,MATCH($A1654,會員!$A$2:$A$2000,0)),"（沒建檔）"))</f>
        <v/>
      </c>
      <c r="G1654" s="10" t="str">
        <f aca="false">IF($B1654="","",IF($D1654="","未還","已還"))</f>
        <v/>
      </c>
    </row>
    <row r="1655" customFormat="false" ht="15" hidden="false" customHeight="false" outlineLevel="0" collapsed="false">
      <c r="E1655" s="9" t="str">
        <f aca="false">IF($B1655="","",IFERROR(INDEX(書籍!$B$2:$B$2000,MATCH($B1655,書籍!$A$2:$A$2000,0)),"（沒建檔）"))</f>
        <v/>
      </c>
      <c r="F1655" s="9" t="str">
        <f aca="false">IF($A1655="","",IFERROR(INDEX(會員!$B$2:$B$2000,MATCH($A1655,會員!$A$2:$A$2000,0)),"（沒建檔）"))</f>
        <v/>
      </c>
      <c r="G1655" s="10" t="str">
        <f aca="false">IF($B1655="","",IF($D1655="","未還","已還"))</f>
        <v/>
      </c>
    </row>
    <row r="1656" customFormat="false" ht="15" hidden="false" customHeight="false" outlineLevel="0" collapsed="false">
      <c r="E1656" s="9" t="str">
        <f aca="false">IF($B1656="","",IFERROR(INDEX(書籍!$B$2:$B$2000,MATCH($B1656,書籍!$A$2:$A$2000,0)),"（沒建檔）"))</f>
        <v/>
      </c>
      <c r="F1656" s="9" t="str">
        <f aca="false">IF($A1656="","",IFERROR(INDEX(會員!$B$2:$B$2000,MATCH($A1656,會員!$A$2:$A$2000,0)),"（沒建檔）"))</f>
        <v/>
      </c>
      <c r="G1656" s="10" t="str">
        <f aca="false">IF($B1656="","",IF($D1656="","未還","已還"))</f>
        <v/>
      </c>
    </row>
    <row r="1657" customFormat="false" ht="15" hidden="false" customHeight="false" outlineLevel="0" collapsed="false">
      <c r="E1657" s="9" t="str">
        <f aca="false">IF($B1657="","",IFERROR(INDEX(書籍!$B$2:$B$2000,MATCH($B1657,書籍!$A$2:$A$2000,0)),"（沒建檔）"))</f>
        <v/>
      </c>
      <c r="F1657" s="9" t="str">
        <f aca="false">IF($A1657="","",IFERROR(INDEX(會員!$B$2:$B$2000,MATCH($A1657,會員!$A$2:$A$2000,0)),"（沒建檔）"))</f>
        <v/>
      </c>
      <c r="G1657" s="10" t="str">
        <f aca="false">IF($B1657="","",IF($D1657="","未還","已還"))</f>
        <v/>
      </c>
    </row>
    <row r="1658" customFormat="false" ht="15" hidden="false" customHeight="false" outlineLevel="0" collapsed="false">
      <c r="E1658" s="9" t="str">
        <f aca="false">IF($B1658="","",IFERROR(INDEX(書籍!$B$2:$B$2000,MATCH($B1658,書籍!$A$2:$A$2000,0)),"（沒建檔）"))</f>
        <v/>
      </c>
      <c r="F1658" s="9" t="str">
        <f aca="false">IF($A1658="","",IFERROR(INDEX(會員!$B$2:$B$2000,MATCH($A1658,會員!$A$2:$A$2000,0)),"（沒建檔）"))</f>
        <v/>
      </c>
      <c r="G1658" s="10" t="str">
        <f aca="false">IF($B1658="","",IF($D1658="","未還","已還"))</f>
        <v/>
      </c>
    </row>
    <row r="1659" customFormat="false" ht="15" hidden="false" customHeight="false" outlineLevel="0" collapsed="false">
      <c r="E1659" s="9" t="str">
        <f aca="false">IF($B1659="","",IFERROR(INDEX(書籍!$B$2:$B$2000,MATCH($B1659,書籍!$A$2:$A$2000,0)),"（沒建檔）"))</f>
        <v/>
      </c>
      <c r="F1659" s="9" t="str">
        <f aca="false">IF($A1659="","",IFERROR(INDEX(會員!$B$2:$B$2000,MATCH($A1659,會員!$A$2:$A$2000,0)),"（沒建檔）"))</f>
        <v/>
      </c>
      <c r="G1659" s="10" t="str">
        <f aca="false">IF($B1659="","",IF($D1659="","未還","已還"))</f>
        <v/>
      </c>
    </row>
    <row r="1660" customFormat="false" ht="15" hidden="false" customHeight="false" outlineLevel="0" collapsed="false">
      <c r="E1660" s="9" t="str">
        <f aca="false">IF($B1660="","",IFERROR(INDEX(書籍!$B$2:$B$2000,MATCH($B1660,書籍!$A$2:$A$2000,0)),"（沒建檔）"))</f>
        <v/>
      </c>
      <c r="F1660" s="9" t="str">
        <f aca="false">IF($A1660="","",IFERROR(INDEX(會員!$B$2:$B$2000,MATCH($A1660,會員!$A$2:$A$2000,0)),"（沒建檔）"))</f>
        <v/>
      </c>
      <c r="G1660" s="10" t="str">
        <f aca="false">IF($B1660="","",IF($D1660="","未還","已還"))</f>
        <v/>
      </c>
    </row>
    <row r="1661" customFormat="false" ht="15" hidden="false" customHeight="false" outlineLevel="0" collapsed="false">
      <c r="E1661" s="9" t="str">
        <f aca="false">IF($B1661="","",IFERROR(INDEX(書籍!$B$2:$B$2000,MATCH($B1661,書籍!$A$2:$A$2000,0)),"（沒建檔）"))</f>
        <v/>
      </c>
      <c r="F1661" s="9" t="str">
        <f aca="false">IF($A1661="","",IFERROR(INDEX(會員!$B$2:$B$2000,MATCH($A1661,會員!$A$2:$A$2000,0)),"（沒建檔）"))</f>
        <v/>
      </c>
      <c r="G1661" s="10" t="str">
        <f aca="false">IF($B1661="","",IF($D1661="","未還","已還"))</f>
        <v/>
      </c>
    </row>
    <row r="1662" customFormat="false" ht="15" hidden="false" customHeight="false" outlineLevel="0" collapsed="false">
      <c r="E1662" s="9" t="str">
        <f aca="false">IF($B1662="","",IFERROR(INDEX(書籍!$B$2:$B$2000,MATCH($B1662,書籍!$A$2:$A$2000,0)),"（沒建檔）"))</f>
        <v/>
      </c>
      <c r="F1662" s="9" t="str">
        <f aca="false">IF($A1662="","",IFERROR(INDEX(會員!$B$2:$B$2000,MATCH($A1662,會員!$A$2:$A$2000,0)),"（沒建檔）"))</f>
        <v/>
      </c>
      <c r="G1662" s="10" t="str">
        <f aca="false">IF($B1662="","",IF($D1662="","未還","已還"))</f>
        <v/>
      </c>
    </row>
    <row r="1663" customFormat="false" ht="15" hidden="false" customHeight="false" outlineLevel="0" collapsed="false">
      <c r="E1663" s="9" t="str">
        <f aca="false">IF($B1663="","",IFERROR(INDEX(書籍!$B$2:$B$2000,MATCH($B1663,書籍!$A$2:$A$2000,0)),"（沒建檔）"))</f>
        <v/>
      </c>
      <c r="F1663" s="9" t="str">
        <f aca="false">IF($A1663="","",IFERROR(INDEX(會員!$B$2:$B$2000,MATCH($A1663,會員!$A$2:$A$2000,0)),"（沒建檔）"))</f>
        <v/>
      </c>
      <c r="G1663" s="10" t="str">
        <f aca="false">IF($B1663="","",IF($D1663="","未還","已還"))</f>
        <v/>
      </c>
    </row>
    <row r="1664" customFormat="false" ht="15" hidden="false" customHeight="false" outlineLevel="0" collapsed="false">
      <c r="E1664" s="9" t="str">
        <f aca="false">IF($B1664="","",IFERROR(INDEX(書籍!$B$2:$B$2000,MATCH($B1664,書籍!$A$2:$A$2000,0)),"（沒建檔）"))</f>
        <v/>
      </c>
      <c r="F1664" s="9" t="str">
        <f aca="false">IF($A1664="","",IFERROR(INDEX(會員!$B$2:$B$2000,MATCH($A1664,會員!$A$2:$A$2000,0)),"（沒建檔）"))</f>
        <v/>
      </c>
      <c r="G1664" s="10" t="str">
        <f aca="false">IF($B1664="","",IF($D1664="","未還","已還"))</f>
        <v/>
      </c>
    </row>
    <row r="1665" customFormat="false" ht="15" hidden="false" customHeight="false" outlineLevel="0" collapsed="false">
      <c r="E1665" s="9" t="str">
        <f aca="false">IF($B1665="","",IFERROR(INDEX(書籍!$B$2:$B$2000,MATCH($B1665,書籍!$A$2:$A$2000,0)),"（沒建檔）"))</f>
        <v/>
      </c>
      <c r="F1665" s="9" t="str">
        <f aca="false">IF($A1665="","",IFERROR(INDEX(會員!$B$2:$B$2000,MATCH($A1665,會員!$A$2:$A$2000,0)),"（沒建檔）"))</f>
        <v/>
      </c>
      <c r="G1665" s="10" t="str">
        <f aca="false">IF($B1665="","",IF($D1665="","未還","已還"))</f>
        <v/>
      </c>
    </row>
    <row r="1666" customFormat="false" ht="15" hidden="false" customHeight="false" outlineLevel="0" collapsed="false">
      <c r="E1666" s="9" t="str">
        <f aca="false">IF($B1666="","",IFERROR(INDEX(書籍!$B$2:$B$2000,MATCH($B1666,書籍!$A$2:$A$2000,0)),"（沒建檔）"))</f>
        <v/>
      </c>
      <c r="F1666" s="9" t="str">
        <f aca="false">IF($A1666="","",IFERROR(INDEX(會員!$B$2:$B$2000,MATCH($A1666,會員!$A$2:$A$2000,0)),"（沒建檔）"))</f>
        <v/>
      </c>
      <c r="G1666" s="10" t="str">
        <f aca="false">IF($B1666="","",IF($D1666="","未還","已還"))</f>
        <v/>
      </c>
    </row>
    <row r="1667" customFormat="false" ht="15" hidden="false" customHeight="false" outlineLevel="0" collapsed="false">
      <c r="E1667" s="9" t="str">
        <f aca="false">IF($B1667="","",IFERROR(INDEX(書籍!$B$2:$B$2000,MATCH($B1667,書籍!$A$2:$A$2000,0)),"（沒建檔）"))</f>
        <v/>
      </c>
      <c r="F1667" s="9" t="str">
        <f aca="false">IF($A1667="","",IFERROR(INDEX(會員!$B$2:$B$2000,MATCH($A1667,會員!$A$2:$A$2000,0)),"（沒建檔）"))</f>
        <v/>
      </c>
      <c r="G1667" s="10" t="str">
        <f aca="false">IF($B1667="","",IF($D1667="","未還","已還"))</f>
        <v/>
      </c>
    </row>
    <row r="1668" customFormat="false" ht="15" hidden="false" customHeight="false" outlineLevel="0" collapsed="false">
      <c r="E1668" s="9" t="str">
        <f aca="false">IF($B1668="","",IFERROR(INDEX(書籍!$B$2:$B$2000,MATCH($B1668,書籍!$A$2:$A$2000,0)),"（沒建檔）"))</f>
        <v/>
      </c>
      <c r="F1668" s="9" t="str">
        <f aca="false">IF($A1668="","",IFERROR(INDEX(會員!$B$2:$B$2000,MATCH($A1668,會員!$A$2:$A$2000,0)),"（沒建檔）"))</f>
        <v/>
      </c>
      <c r="G1668" s="10" t="str">
        <f aca="false">IF($B1668="","",IF($D1668="","未還","已還"))</f>
        <v/>
      </c>
    </row>
    <row r="1669" customFormat="false" ht="15" hidden="false" customHeight="false" outlineLevel="0" collapsed="false">
      <c r="E1669" s="9" t="str">
        <f aca="false">IF($B1669="","",IFERROR(INDEX(書籍!$B$2:$B$2000,MATCH($B1669,書籍!$A$2:$A$2000,0)),"（沒建檔）"))</f>
        <v/>
      </c>
      <c r="F1669" s="9" t="str">
        <f aca="false">IF($A1669="","",IFERROR(INDEX(會員!$B$2:$B$2000,MATCH($A1669,會員!$A$2:$A$2000,0)),"（沒建檔）"))</f>
        <v/>
      </c>
      <c r="G1669" s="10" t="str">
        <f aca="false">IF($B1669="","",IF($D1669="","未還","已還"))</f>
        <v/>
      </c>
    </row>
    <row r="1670" customFormat="false" ht="15" hidden="false" customHeight="false" outlineLevel="0" collapsed="false">
      <c r="E1670" s="9" t="str">
        <f aca="false">IF($B1670="","",IFERROR(INDEX(書籍!$B$2:$B$2000,MATCH($B1670,書籍!$A$2:$A$2000,0)),"（沒建檔）"))</f>
        <v/>
      </c>
      <c r="F1670" s="9" t="str">
        <f aca="false">IF($A1670="","",IFERROR(INDEX(會員!$B$2:$B$2000,MATCH($A1670,會員!$A$2:$A$2000,0)),"（沒建檔）"))</f>
        <v/>
      </c>
      <c r="G1670" s="10" t="str">
        <f aca="false">IF($B1670="","",IF($D1670="","未還","已還"))</f>
        <v/>
      </c>
    </row>
    <row r="1671" customFormat="false" ht="15" hidden="false" customHeight="false" outlineLevel="0" collapsed="false">
      <c r="E1671" s="9" t="str">
        <f aca="false">IF($B1671="","",IFERROR(INDEX(書籍!$B$2:$B$2000,MATCH($B1671,書籍!$A$2:$A$2000,0)),"（沒建檔）"))</f>
        <v/>
      </c>
      <c r="F1671" s="9" t="str">
        <f aca="false">IF($A1671="","",IFERROR(INDEX(會員!$B$2:$B$2000,MATCH($A1671,會員!$A$2:$A$2000,0)),"（沒建檔）"))</f>
        <v/>
      </c>
      <c r="G1671" s="10" t="str">
        <f aca="false">IF($B1671="","",IF($D1671="","未還","已還"))</f>
        <v/>
      </c>
    </row>
    <row r="1672" customFormat="false" ht="15" hidden="false" customHeight="false" outlineLevel="0" collapsed="false">
      <c r="E1672" s="9" t="str">
        <f aca="false">IF($B1672="","",IFERROR(INDEX(書籍!$B$2:$B$2000,MATCH($B1672,書籍!$A$2:$A$2000,0)),"（沒建檔）"))</f>
        <v/>
      </c>
      <c r="F1672" s="9" t="str">
        <f aca="false">IF($A1672="","",IFERROR(INDEX(會員!$B$2:$B$2000,MATCH($A1672,會員!$A$2:$A$2000,0)),"（沒建檔）"))</f>
        <v/>
      </c>
      <c r="G1672" s="10" t="str">
        <f aca="false">IF($B1672="","",IF($D1672="","未還","已還"))</f>
        <v/>
      </c>
    </row>
    <row r="1673" customFormat="false" ht="15" hidden="false" customHeight="false" outlineLevel="0" collapsed="false">
      <c r="E1673" s="9" t="str">
        <f aca="false">IF($B1673="","",IFERROR(INDEX(書籍!$B$2:$B$2000,MATCH($B1673,書籍!$A$2:$A$2000,0)),"（沒建檔）"))</f>
        <v/>
      </c>
      <c r="F1673" s="9" t="str">
        <f aca="false">IF($A1673="","",IFERROR(INDEX(會員!$B$2:$B$2000,MATCH($A1673,會員!$A$2:$A$2000,0)),"（沒建檔）"))</f>
        <v/>
      </c>
      <c r="G1673" s="10" t="str">
        <f aca="false">IF($B1673="","",IF($D1673="","未還","已還"))</f>
        <v/>
      </c>
    </row>
    <row r="1674" customFormat="false" ht="15" hidden="false" customHeight="false" outlineLevel="0" collapsed="false">
      <c r="E1674" s="9" t="str">
        <f aca="false">IF($B1674="","",IFERROR(INDEX(書籍!$B$2:$B$2000,MATCH($B1674,書籍!$A$2:$A$2000,0)),"（沒建檔）"))</f>
        <v/>
      </c>
      <c r="F1674" s="9" t="str">
        <f aca="false">IF($A1674="","",IFERROR(INDEX(會員!$B$2:$B$2000,MATCH($A1674,會員!$A$2:$A$2000,0)),"（沒建檔）"))</f>
        <v/>
      </c>
      <c r="G1674" s="10" t="str">
        <f aca="false">IF($B1674="","",IF($D1674="","未還","已還"))</f>
        <v/>
      </c>
    </row>
    <row r="1675" customFormat="false" ht="15" hidden="false" customHeight="false" outlineLevel="0" collapsed="false">
      <c r="E1675" s="9" t="str">
        <f aca="false">IF($B1675="","",IFERROR(INDEX(書籍!$B$2:$B$2000,MATCH($B1675,書籍!$A$2:$A$2000,0)),"（沒建檔）"))</f>
        <v/>
      </c>
      <c r="F1675" s="9" t="str">
        <f aca="false">IF($A1675="","",IFERROR(INDEX(會員!$B$2:$B$2000,MATCH($A1675,會員!$A$2:$A$2000,0)),"（沒建檔）"))</f>
        <v/>
      </c>
      <c r="G1675" s="10" t="str">
        <f aca="false">IF($B1675="","",IF($D1675="","未還","已還"))</f>
        <v/>
      </c>
    </row>
    <row r="1676" customFormat="false" ht="15" hidden="false" customHeight="false" outlineLevel="0" collapsed="false">
      <c r="E1676" s="9" t="str">
        <f aca="false">IF($B1676="","",IFERROR(INDEX(書籍!$B$2:$B$2000,MATCH($B1676,書籍!$A$2:$A$2000,0)),"（沒建檔）"))</f>
        <v/>
      </c>
      <c r="F1676" s="9" t="str">
        <f aca="false">IF($A1676="","",IFERROR(INDEX(會員!$B$2:$B$2000,MATCH($A1676,會員!$A$2:$A$2000,0)),"（沒建檔）"))</f>
        <v/>
      </c>
      <c r="G1676" s="10" t="str">
        <f aca="false">IF($B1676="","",IF($D1676="","未還","已還"))</f>
        <v/>
      </c>
    </row>
    <row r="1677" customFormat="false" ht="15" hidden="false" customHeight="false" outlineLevel="0" collapsed="false">
      <c r="E1677" s="9" t="str">
        <f aca="false">IF($B1677="","",IFERROR(INDEX(書籍!$B$2:$B$2000,MATCH($B1677,書籍!$A$2:$A$2000,0)),"（沒建檔）"))</f>
        <v/>
      </c>
      <c r="F1677" s="9" t="str">
        <f aca="false">IF($A1677="","",IFERROR(INDEX(會員!$B$2:$B$2000,MATCH($A1677,會員!$A$2:$A$2000,0)),"（沒建檔）"))</f>
        <v/>
      </c>
      <c r="G1677" s="10" t="str">
        <f aca="false">IF($B1677="","",IF($D1677="","未還","已還"))</f>
        <v/>
      </c>
    </row>
    <row r="1678" customFormat="false" ht="15" hidden="false" customHeight="false" outlineLevel="0" collapsed="false">
      <c r="E1678" s="9" t="str">
        <f aca="false">IF($B1678="","",IFERROR(INDEX(書籍!$B$2:$B$2000,MATCH($B1678,書籍!$A$2:$A$2000,0)),"（沒建檔）"))</f>
        <v/>
      </c>
      <c r="F1678" s="9" t="str">
        <f aca="false">IF($A1678="","",IFERROR(INDEX(會員!$B$2:$B$2000,MATCH($A1678,會員!$A$2:$A$2000,0)),"（沒建檔）"))</f>
        <v/>
      </c>
      <c r="G1678" s="10" t="str">
        <f aca="false">IF($B1678="","",IF($D1678="","未還","已還"))</f>
        <v/>
      </c>
    </row>
    <row r="1679" customFormat="false" ht="15" hidden="false" customHeight="false" outlineLevel="0" collapsed="false">
      <c r="E1679" s="9" t="str">
        <f aca="false">IF($B1679="","",IFERROR(INDEX(書籍!$B$2:$B$2000,MATCH($B1679,書籍!$A$2:$A$2000,0)),"（沒建檔）"))</f>
        <v/>
      </c>
      <c r="F1679" s="9" t="str">
        <f aca="false">IF($A1679="","",IFERROR(INDEX(會員!$B$2:$B$2000,MATCH($A1679,會員!$A$2:$A$2000,0)),"（沒建檔）"))</f>
        <v/>
      </c>
      <c r="G1679" s="10" t="str">
        <f aca="false">IF($B1679="","",IF($D1679="","未還","已還"))</f>
        <v/>
      </c>
    </row>
    <row r="1680" customFormat="false" ht="15" hidden="false" customHeight="false" outlineLevel="0" collapsed="false">
      <c r="E1680" s="9" t="str">
        <f aca="false">IF($B1680="","",IFERROR(INDEX(書籍!$B$2:$B$2000,MATCH($B1680,書籍!$A$2:$A$2000,0)),"（沒建檔）"))</f>
        <v/>
      </c>
      <c r="F1680" s="9" t="str">
        <f aca="false">IF($A1680="","",IFERROR(INDEX(會員!$B$2:$B$2000,MATCH($A1680,會員!$A$2:$A$2000,0)),"（沒建檔）"))</f>
        <v/>
      </c>
      <c r="G1680" s="10" t="str">
        <f aca="false">IF($B1680="","",IF($D1680="","未還","已還"))</f>
        <v/>
      </c>
    </row>
    <row r="1681" customFormat="false" ht="15" hidden="false" customHeight="false" outlineLevel="0" collapsed="false">
      <c r="E1681" s="9" t="str">
        <f aca="false">IF($B1681="","",IFERROR(INDEX(書籍!$B$2:$B$2000,MATCH($B1681,書籍!$A$2:$A$2000,0)),"（沒建檔）"))</f>
        <v/>
      </c>
      <c r="F1681" s="9" t="str">
        <f aca="false">IF($A1681="","",IFERROR(INDEX(會員!$B$2:$B$2000,MATCH($A1681,會員!$A$2:$A$2000,0)),"（沒建檔）"))</f>
        <v/>
      </c>
      <c r="G1681" s="10" t="str">
        <f aca="false">IF($B1681="","",IF($D1681="","未還","已還"))</f>
        <v/>
      </c>
    </row>
    <row r="1682" customFormat="false" ht="15" hidden="false" customHeight="false" outlineLevel="0" collapsed="false">
      <c r="E1682" s="9" t="str">
        <f aca="false">IF($B1682="","",IFERROR(INDEX(書籍!$B$2:$B$2000,MATCH($B1682,書籍!$A$2:$A$2000,0)),"（沒建檔）"))</f>
        <v/>
      </c>
      <c r="F1682" s="9" t="str">
        <f aca="false">IF($A1682="","",IFERROR(INDEX(會員!$B$2:$B$2000,MATCH($A1682,會員!$A$2:$A$2000,0)),"（沒建檔）"))</f>
        <v/>
      </c>
      <c r="G1682" s="10" t="str">
        <f aca="false">IF($B1682="","",IF($D1682="","未還","已還"))</f>
        <v/>
      </c>
    </row>
    <row r="1683" customFormat="false" ht="15" hidden="false" customHeight="false" outlineLevel="0" collapsed="false">
      <c r="E1683" s="9" t="str">
        <f aca="false">IF($B1683="","",IFERROR(INDEX(書籍!$B$2:$B$2000,MATCH($B1683,書籍!$A$2:$A$2000,0)),"（沒建檔）"))</f>
        <v/>
      </c>
      <c r="F1683" s="9" t="str">
        <f aca="false">IF($A1683="","",IFERROR(INDEX(會員!$B$2:$B$2000,MATCH($A1683,會員!$A$2:$A$2000,0)),"（沒建檔）"))</f>
        <v/>
      </c>
      <c r="G1683" s="10" t="str">
        <f aca="false">IF($B1683="","",IF($D1683="","未還","已還"))</f>
        <v/>
      </c>
    </row>
    <row r="1684" customFormat="false" ht="15" hidden="false" customHeight="false" outlineLevel="0" collapsed="false">
      <c r="E1684" s="9" t="str">
        <f aca="false">IF($B1684="","",IFERROR(INDEX(書籍!$B$2:$B$2000,MATCH($B1684,書籍!$A$2:$A$2000,0)),"（沒建檔）"))</f>
        <v/>
      </c>
      <c r="F1684" s="9" t="str">
        <f aca="false">IF($A1684="","",IFERROR(INDEX(會員!$B$2:$B$2000,MATCH($A1684,會員!$A$2:$A$2000,0)),"（沒建檔）"))</f>
        <v/>
      </c>
      <c r="G1684" s="10" t="str">
        <f aca="false">IF($B1684="","",IF($D1684="","未還","已還"))</f>
        <v/>
      </c>
    </row>
    <row r="1685" customFormat="false" ht="15" hidden="false" customHeight="false" outlineLevel="0" collapsed="false">
      <c r="E1685" s="9" t="str">
        <f aca="false">IF($B1685="","",IFERROR(INDEX(書籍!$B$2:$B$2000,MATCH($B1685,書籍!$A$2:$A$2000,0)),"（沒建檔）"))</f>
        <v/>
      </c>
      <c r="F1685" s="9" t="str">
        <f aca="false">IF($A1685="","",IFERROR(INDEX(會員!$B$2:$B$2000,MATCH($A1685,會員!$A$2:$A$2000,0)),"（沒建檔）"))</f>
        <v/>
      </c>
      <c r="G1685" s="10" t="str">
        <f aca="false">IF($B1685="","",IF($D1685="","未還","已還"))</f>
        <v/>
      </c>
    </row>
    <row r="1686" customFormat="false" ht="15" hidden="false" customHeight="false" outlineLevel="0" collapsed="false">
      <c r="E1686" s="9" t="str">
        <f aca="false">IF($B1686="","",IFERROR(INDEX(書籍!$B$2:$B$2000,MATCH($B1686,書籍!$A$2:$A$2000,0)),"（沒建檔）"))</f>
        <v/>
      </c>
      <c r="F1686" s="9" t="str">
        <f aca="false">IF($A1686="","",IFERROR(INDEX(會員!$B$2:$B$2000,MATCH($A1686,會員!$A$2:$A$2000,0)),"（沒建檔）"))</f>
        <v/>
      </c>
      <c r="G1686" s="10" t="str">
        <f aca="false">IF($B1686="","",IF($D1686="","未還","已還"))</f>
        <v/>
      </c>
    </row>
    <row r="1687" customFormat="false" ht="15" hidden="false" customHeight="false" outlineLevel="0" collapsed="false">
      <c r="E1687" s="9" t="str">
        <f aca="false">IF($B1687="","",IFERROR(INDEX(書籍!$B$2:$B$2000,MATCH($B1687,書籍!$A$2:$A$2000,0)),"（沒建檔）"))</f>
        <v/>
      </c>
      <c r="F1687" s="9" t="str">
        <f aca="false">IF($A1687="","",IFERROR(INDEX(會員!$B$2:$B$2000,MATCH($A1687,會員!$A$2:$A$2000,0)),"（沒建檔）"))</f>
        <v/>
      </c>
      <c r="G1687" s="10" t="str">
        <f aca="false">IF($B1687="","",IF($D1687="","未還","已還"))</f>
        <v/>
      </c>
    </row>
    <row r="1688" customFormat="false" ht="15" hidden="false" customHeight="false" outlineLevel="0" collapsed="false">
      <c r="E1688" s="9" t="str">
        <f aca="false">IF($B1688="","",IFERROR(INDEX(書籍!$B$2:$B$2000,MATCH($B1688,書籍!$A$2:$A$2000,0)),"（沒建檔）"))</f>
        <v/>
      </c>
      <c r="F1688" s="9" t="str">
        <f aca="false">IF($A1688="","",IFERROR(INDEX(會員!$B$2:$B$2000,MATCH($A1688,會員!$A$2:$A$2000,0)),"（沒建檔）"))</f>
        <v/>
      </c>
      <c r="G1688" s="10" t="str">
        <f aca="false">IF($B1688="","",IF($D1688="","未還","已還"))</f>
        <v/>
      </c>
    </row>
    <row r="1689" customFormat="false" ht="15" hidden="false" customHeight="false" outlineLevel="0" collapsed="false">
      <c r="E1689" s="9" t="str">
        <f aca="false">IF($B1689="","",IFERROR(INDEX(書籍!$B$2:$B$2000,MATCH($B1689,書籍!$A$2:$A$2000,0)),"（沒建檔）"))</f>
        <v/>
      </c>
      <c r="F1689" s="9" t="str">
        <f aca="false">IF($A1689="","",IFERROR(INDEX(會員!$B$2:$B$2000,MATCH($A1689,會員!$A$2:$A$2000,0)),"（沒建檔）"))</f>
        <v/>
      </c>
      <c r="G1689" s="10" t="str">
        <f aca="false">IF($B1689="","",IF($D1689="","未還","已還"))</f>
        <v/>
      </c>
    </row>
    <row r="1690" customFormat="false" ht="15" hidden="false" customHeight="false" outlineLevel="0" collapsed="false">
      <c r="E1690" s="9" t="str">
        <f aca="false">IF($B1690="","",IFERROR(INDEX(書籍!$B$2:$B$2000,MATCH($B1690,書籍!$A$2:$A$2000,0)),"（沒建檔）"))</f>
        <v/>
      </c>
      <c r="F1690" s="9" t="str">
        <f aca="false">IF($A1690="","",IFERROR(INDEX(會員!$B$2:$B$2000,MATCH($A1690,會員!$A$2:$A$2000,0)),"（沒建檔）"))</f>
        <v/>
      </c>
      <c r="G1690" s="10" t="str">
        <f aca="false">IF($B1690="","",IF($D1690="","未還","已還"))</f>
        <v/>
      </c>
    </row>
    <row r="1691" customFormat="false" ht="15" hidden="false" customHeight="false" outlineLevel="0" collapsed="false">
      <c r="E1691" s="9" t="str">
        <f aca="false">IF($B1691="","",IFERROR(INDEX(書籍!$B$2:$B$2000,MATCH($B1691,書籍!$A$2:$A$2000,0)),"（沒建檔）"))</f>
        <v/>
      </c>
      <c r="F1691" s="9" t="str">
        <f aca="false">IF($A1691="","",IFERROR(INDEX(會員!$B$2:$B$2000,MATCH($A1691,會員!$A$2:$A$2000,0)),"（沒建檔）"))</f>
        <v/>
      </c>
      <c r="G1691" s="10" t="str">
        <f aca="false">IF($B1691="","",IF($D1691="","未還","已還"))</f>
        <v/>
      </c>
    </row>
    <row r="1692" customFormat="false" ht="15" hidden="false" customHeight="false" outlineLevel="0" collapsed="false">
      <c r="E1692" s="9" t="str">
        <f aca="false">IF($B1692="","",IFERROR(INDEX(書籍!$B$2:$B$2000,MATCH($B1692,書籍!$A$2:$A$2000,0)),"（沒建檔）"))</f>
        <v/>
      </c>
      <c r="F1692" s="9" t="str">
        <f aca="false">IF($A1692="","",IFERROR(INDEX(會員!$B$2:$B$2000,MATCH($A1692,會員!$A$2:$A$2000,0)),"（沒建檔）"))</f>
        <v/>
      </c>
      <c r="G1692" s="10" t="str">
        <f aca="false">IF($B1692="","",IF($D1692="","未還","已還"))</f>
        <v/>
      </c>
    </row>
    <row r="1693" customFormat="false" ht="15" hidden="false" customHeight="false" outlineLevel="0" collapsed="false">
      <c r="E1693" s="9" t="str">
        <f aca="false">IF($B1693="","",IFERROR(INDEX(書籍!$B$2:$B$2000,MATCH($B1693,書籍!$A$2:$A$2000,0)),"（沒建檔）"))</f>
        <v/>
      </c>
      <c r="F1693" s="9" t="str">
        <f aca="false">IF($A1693="","",IFERROR(INDEX(會員!$B$2:$B$2000,MATCH($A1693,會員!$A$2:$A$2000,0)),"（沒建檔）"))</f>
        <v/>
      </c>
      <c r="G1693" s="10" t="str">
        <f aca="false">IF($B1693="","",IF($D1693="","未還","已還"))</f>
        <v/>
      </c>
    </row>
    <row r="1694" customFormat="false" ht="15" hidden="false" customHeight="false" outlineLevel="0" collapsed="false">
      <c r="E1694" s="9" t="str">
        <f aca="false">IF($B1694="","",IFERROR(INDEX(書籍!$B$2:$B$2000,MATCH($B1694,書籍!$A$2:$A$2000,0)),"（沒建檔）"))</f>
        <v/>
      </c>
      <c r="F1694" s="9" t="str">
        <f aca="false">IF($A1694="","",IFERROR(INDEX(會員!$B$2:$B$2000,MATCH($A1694,會員!$A$2:$A$2000,0)),"（沒建檔）"))</f>
        <v/>
      </c>
      <c r="G1694" s="10" t="str">
        <f aca="false">IF($B1694="","",IF($D1694="","未還","已還"))</f>
        <v/>
      </c>
    </row>
    <row r="1695" customFormat="false" ht="15" hidden="false" customHeight="false" outlineLevel="0" collapsed="false">
      <c r="E1695" s="9" t="str">
        <f aca="false">IF($B1695="","",IFERROR(INDEX(書籍!$B$2:$B$2000,MATCH($B1695,書籍!$A$2:$A$2000,0)),"（沒建檔）"))</f>
        <v/>
      </c>
      <c r="F1695" s="9" t="str">
        <f aca="false">IF($A1695="","",IFERROR(INDEX(會員!$B$2:$B$2000,MATCH($A1695,會員!$A$2:$A$2000,0)),"（沒建檔）"))</f>
        <v/>
      </c>
      <c r="G1695" s="10" t="str">
        <f aca="false">IF($B1695="","",IF($D1695="","未還","已還"))</f>
        <v/>
      </c>
    </row>
    <row r="1696" customFormat="false" ht="15" hidden="false" customHeight="false" outlineLevel="0" collapsed="false">
      <c r="E1696" s="9" t="str">
        <f aca="false">IF($B1696="","",IFERROR(INDEX(書籍!$B$2:$B$2000,MATCH($B1696,書籍!$A$2:$A$2000,0)),"（沒建檔）"))</f>
        <v/>
      </c>
      <c r="F1696" s="9" t="str">
        <f aca="false">IF($A1696="","",IFERROR(INDEX(會員!$B$2:$B$2000,MATCH($A1696,會員!$A$2:$A$2000,0)),"（沒建檔）"))</f>
        <v/>
      </c>
      <c r="G1696" s="10" t="str">
        <f aca="false">IF($B1696="","",IF($D1696="","未還","已還"))</f>
        <v/>
      </c>
    </row>
    <row r="1697" customFormat="false" ht="15" hidden="false" customHeight="false" outlineLevel="0" collapsed="false">
      <c r="E1697" s="9" t="str">
        <f aca="false">IF($B1697="","",IFERROR(INDEX(書籍!$B$2:$B$2000,MATCH($B1697,書籍!$A$2:$A$2000,0)),"（沒建檔）"))</f>
        <v/>
      </c>
      <c r="F1697" s="9" t="str">
        <f aca="false">IF($A1697="","",IFERROR(INDEX(會員!$B$2:$B$2000,MATCH($A1697,會員!$A$2:$A$2000,0)),"（沒建檔）"))</f>
        <v/>
      </c>
      <c r="G1697" s="10" t="str">
        <f aca="false">IF($B1697="","",IF($D1697="","未還","已還"))</f>
        <v/>
      </c>
    </row>
    <row r="1698" customFormat="false" ht="15" hidden="false" customHeight="false" outlineLevel="0" collapsed="false">
      <c r="E1698" s="9" t="str">
        <f aca="false">IF($B1698="","",IFERROR(INDEX(書籍!$B$2:$B$2000,MATCH($B1698,書籍!$A$2:$A$2000,0)),"（沒建檔）"))</f>
        <v/>
      </c>
      <c r="F1698" s="9" t="str">
        <f aca="false">IF($A1698="","",IFERROR(INDEX(會員!$B$2:$B$2000,MATCH($A1698,會員!$A$2:$A$2000,0)),"（沒建檔）"))</f>
        <v/>
      </c>
      <c r="G1698" s="10" t="str">
        <f aca="false">IF($B1698="","",IF($D1698="","未還","已還"))</f>
        <v/>
      </c>
    </row>
    <row r="1699" customFormat="false" ht="15" hidden="false" customHeight="false" outlineLevel="0" collapsed="false">
      <c r="E1699" s="9" t="str">
        <f aca="false">IF($B1699="","",IFERROR(INDEX(書籍!$B$2:$B$2000,MATCH($B1699,書籍!$A$2:$A$2000,0)),"（沒建檔）"))</f>
        <v/>
      </c>
      <c r="F1699" s="9" t="str">
        <f aca="false">IF($A1699="","",IFERROR(INDEX(會員!$B$2:$B$2000,MATCH($A1699,會員!$A$2:$A$2000,0)),"（沒建檔）"))</f>
        <v/>
      </c>
      <c r="G1699" s="10" t="str">
        <f aca="false">IF($B1699="","",IF($D1699="","未還","已還"))</f>
        <v/>
      </c>
    </row>
    <row r="1700" customFormat="false" ht="15" hidden="false" customHeight="false" outlineLevel="0" collapsed="false">
      <c r="E1700" s="9" t="str">
        <f aca="false">IF($B1700="","",IFERROR(INDEX(書籍!$B$2:$B$2000,MATCH($B1700,書籍!$A$2:$A$2000,0)),"（沒建檔）"))</f>
        <v/>
      </c>
      <c r="F1700" s="9" t="str">
        <f aca="false">IF($A1700="","",IFERROR(INDEX(會員!$B$2:$B$2000,MATCH($A1700,會員!$A$2:$A$2000,0)),"（沒建檔）"))</f>
        <v/>
      </c>
      <c r="G1700" s="10" t="str">
        <f aca="false">IF($B1700="","",IF($D1700="","未還","已還"))</f>
        <v/>
      </c>
    </row>
    <row r="1701" customFormat="false" ht="15" hidden="false" customHeight="false" outlineLevel="0" collapsed="false">
      <c r="E1701" s="9" t="str">
        <f aca="false">IF($B1701="","",IFERROR(INDEX(書籍!$B$2:$B$2000,MATCH($B1701,書籍!$A$2:$A$2000,0)),"（沒建檔）"))</f>
        <v/>
      </c>
      <c r="F1701" s="9" t="str">
        <f aca="false">IF($A1701="","",IFERROR(INDEX(會員!$B$2:$B$2000,MATCH($A1701,會員!$A$2:$A$2000,0)),"（沒建檔）"))</f>
        <v/>
      </c>
      <c r="G1701" s="10" t="str">
        <f aca="false">IF($B1701="","",IF($D1701="","未還","已還"))</f>
        <v/>
      </c>
    </row>
    <row r="1702" customFormat="false" ht="15" hidden="false" customHeight="false" outlineLevel="0" collapsed="false">
      <c r="E1702" s="9" t="str">
        <f aca="false">IF($B1702="","",IFERROR(INDEX(書籍!$B$2:$B$2000,MATCH($B1702,書籍!$A$2:$A$2000,0)),"（沒建檔）"))</f>
        <v/>
      </c>
      <c r="F1702" s="9" t="str">
        <f aca="false">IF($A1702="","",IFERROR(INDEX(會員!$B$2:$B$2000,MATCH($A1702,會員!$A$2:$A$2000,0)),"（沒建檔）"))</f>
        <v/>
      </c>
      <c r="G1702" s="10" t="str">
        <f aca="false">IF($B1702="","",IF($D1702="","未還","已還"))</f>
        <v/>
      </c>
    </row>
    <row r="1703" customFormat="false" ht="15" hidden="false" customHeight="false" outlineLevel="0" collapsed="false">
      <c r="E1703" s="9" t="str">
        <f aca="false">IF($B1703="","",IFERROR(INDEX(書籍!$B$2:$B$2000,MATCH($B1703,書籍!$A$2:$A$2000,0)),"（沒建檔）"))</f>
        <v/>
      </c>
      <c r="F1703" s="9" t="str">
        <f aca="false">IF($A1703="","",IFERROR(INDEX(會員!$B$2:$B$2000,MATCH($A1703,會員!$A$2:$A$2000,0)),"（沒建檔）"))</f>
        <v/>
      </c>
      <c r="G1703" s="10" t="str">
        <f aca="false">IF($B1703="","",IF($D1703="","未還","已還"))</f>
        <v/>
      </c>
    </row>
    <row r="1704" customFormat="false" ht="15" hidden="false" customHeight="false" outlineLevel="0" collapsed="false">
      <c r="E1704" s="9" t="str">
        <f aca="false">IF($B1704="","",IFERROR(INDEX(書籍!$B$2:$B$2000,MATCH($B1704,書籍!$A$2:$A$2000,0)),"（沒建檔）"))</f>
        <v/>
      </c>
      <c r="F1704" s="9" t="str">
        <f aca="false">IF($A1704="","",IFERROR(INDEX(會員!$B$2:$B$2000,MATCH($A1704,會員!$A$2:$A$2000,0)),"（沒建檔）"))</f>
        <v/>
      </c>
      <c r="G1704" s="10" t="str">
        <f aca="false">IF($B1704="","",IF($D1704="","未還","已還"))</f>
        <v/>
      </c>
    </row>
    <row r="1705" customFormat="false" ht="15" hidden="false" customHeight="false" outlineLevel="0" collapsed="false">
      <c r="E1705" s="9" t="str">
        <f aca="false">IF($B1705="","",IFERROR(INDEX(書籍!$B$2:$B$2000,MATCH($B1705,書籍!$A$2:$A$2000,0)),"（沒建檔）"))</f>
        <v/>
      </c>
      <c r="F1705" s="9" t="str">
        <f aca="false">IF($A1705="","",IFERROR(INDEX(會員!$B$2:$B$2000,MATCH($A1705,會員!$A$2:$A$2000,0)),"（沒建檔）"))</f>
        <v/>
      </c>
      <c r="G1705" s="10" t="str">
        <f aca="false">IF($B1705="","",IF($D1705="","未還","已還"))</f>
        <v/>
      </c>
    </row>
    <row r="1706" customFormat="false" ht="15" hidden="false" customHeight="false" outlineLevel="0" collapsed="false">
      <c r="E1706" s="9" t="str">
        <f aca="false">IF($B1706="","",IFERROR(INDEX(書籍!$B$2:$B$2000,MATCH($B1706,書籍!$A$2:$A$2000,0)),"（沒建檔）"))</f>
        <v/>
      </c>
      <c r="F1706" s="9" t="str">
        <f aca="false">IF($A1706="","",IFERROR(INDEX(會員!$B$2:$B$2000,MATCH($A1706,會員!$A$2:$A$2000,0)),"（沒建檔）"))</f>
        <v/>
      </c>
      <c r="G1706" s="10" t="str">
        <f aca="false">IF($B1706="","",IF($D1706="","未還","已還"))</f>
        <v/>
      </c>
    </row>
    <row r="1707" customFormat="false" ht="15" hidden="false" customHeight="false" outlineLevel="0" collapsed="false">
      <c r="E1707" s="9" t="str">
        <f aca="false">IF($B1707="","",IFERROR(INDEX(書籍!$B$2:$B$2000,MATCH($B1707,書籍!$A$2:$A$2000,0)),"（沒建檔）"))</f>
        <v/>
      </c>
      <c r="F1707" s="9" t="str">
        <f aca="false">IF($A1707="","",IFERROR(INDEX(會員!$B$2:$B$2000,MATCH($A1707,會員!$A$2:$A$2000,0)),"（沒建檔）"))</f>
        <v/>
      </c>
      <c r="G1707" s="10" t="str">
        <f aca="false">IF($B1707="","",IF($D1707="","未還","已還"))</f>
        <v/>
      </c>
    </row>
    <row r="1708" customFormat="false" ht="15" hidden="false" customHeight="false" outlineLevel="0" collapsed="false">
      <c r="E1708" s="9" t="str">
        <f aca="false">IF($B1708="","",IFERROR(INDEX(書籍!$B$2:$B$2000,MATCH($B1708,書籍!$A$2:$A$2000,0)),"（沒建檔）"))</f>
        <v/>
      </c>
      <c r="F1708" s="9" t="str">
        <f aca="false">IF($A1708="","",IFERROR(INDEX(會員!$B$2:$B$2000,MATCH($A1708,會員!$A$2:$A$2000,0)),"（沒建檔）"))</f>
        <v/>
      </c>
      <c r="G1708" s="10" t="str">
        <f aca="false">IF($B1708="","",IF($D1708="","未還","已還"))</f>
        <v/>
      </c>
    </row>
    <row r="1709" customFormat="false" ht="15" hidden="false" customHeight="false" outlineLevel="0" collapsed="false">
      <c r="E1709" s="9" t="str">
        <f aca="false">IF($B1709="","",IFERROR(INDEX(書籍!$B$2:$B$2000,MATCH($B1709,書籍!$A$2:$A$2000,0)),"（沒建檔）"))</f>
        <v/>
      </c>
      <c r="F1709" s="9" t="str">
        <f aca="false">IF($A1709="","",IFERROR(INDEX(會員!$B$2:$B$2000,MATCH($A1709,會員!$A$2:$A$2000,0)),"（沒建檔）"))</f>
        <v/>
      </c>
      <c r="G1709" s="10" t="str">
        <f aca="false">IF($B1709="","",IF($D1709="","未還","已還"))</f>
        <v/>
      </c>
    </row>
    <row r="1710" customFormat="false" ht="15" hidden="false" customHeight="false" outlineLevel="0" collapsed="false">
      <c r="E1710" s="9" t="str">
        <f aca="false">IF($B1710="","",IFERROR(INDEX(書籍!$B$2:$B$2000,MATCH($B1710,書籍!$A$2:$A$2000,0)),"（沒建檔）"))</f>
        <v/>
      </c>
      <c r="F1710" s="9" t="str">
        <f aca="false">IF($A1710="","",IFERROR(INDEX(會員!$B$2:$B$2000,MATCH($A1710,會員!$A$2:$A$2000,0)),"（沒建檔）"))</f>
        <v/>
      </c>
      <c r="G1710" s="10" t="str">
        <f aca="false">IF($B1710="","",IF($D1710="","未還","已還"))</f>
        <v/>
      </c>
    </row>
    <row r="1711" customFormat="false" ht="15" hidden="false" customHeight="false" outlineLevel="0" collapsed="false">
      <c r="E1711" s="9" t="str">
        <f aca="false">IF($B1711="","",IFERROR(INDEX(書籍!$B$2:$B$2000,MATCH($B1711,書籍!$A$2:$A$2000,0)),"（沒建檔）"))</f>
        <v/>
      </c>
      <c r="F1711" s="9" t="str">
        <f aca="false">IF($A1711="","",IFERROR(INDEX(會員!$B$2:$B$2000,MATCH($A1711,會員!$A$2:$A$2000,0)),"（沒建檔）"))</f>
        <v/>
      </c>
      <c r="G1711" s="10" t="str">
        <f aca="false">IF($B1711="","",IF($D1711="","未還","已還"))</f>
        <v/>
      </c>
    </row>
    <row r="1712" customFormat="false" ht="15" hidden="false" customHeight="false" outlineLevel="0" collapsed="false">
      <c r="E1712" s="9" t="str">
        <f aca="false">IF($B1712="","",IFERROR(INDEX(書籍!$B$2:$B$2000,MATCH($B1712,書籍!$A$2:$A$2000,0)),"（沒建檔）"))</f>
        <v/>
      </c>
      <c r="F1712" s="9" t="str">
        <f aca="false">IF($A1712="","",IFERROR(INDEX(會員!$B$2:$B$2000,MATCH($A1712,會員!$A$2:$A$2000,0)),"（沒建檔）"))</f>
        <v/>
      </c>
      <c r="G1712" s="10" t="str">
        <f aca="false">IF($B1712="","",IF($D1712="","未還","已還"))</f>
        <v/>
      </c>
    </row>
    <row r="1713" customFormat="false" ht="15" hidden="false" customHeight="false" outlineLevel="0" collapsed="false">
      <c r="E1713" s="9" t="str">
        <f aca="false">IF($B1713="","",IFERROR(INDEX(書籍!$B$2:$B$2000,MATCH($B1713,書籍!$A$2:$A$2000,0)),"（沒建檔）"))</f>
        <v/>
      </c>
      <c r="F1713" s="9" t="str">
        <f aca="false">IF($A1713="","",IFERROR(INDEX(會員!$B$2:$B$2000,MATCH($A1713,會員!$A$2:$A$2000,0)),"（沒建檔）"))</f>
        <v/>
      </c>
      <c r="G1713" s="10" t="str">
        <f aca="false">IF($B1713="","",IF($D1713="","未還","已還"))</f>
        <v/>
      </c>
    </row>
    <row r="1714" customFormat="false" ht="15" hidden="false" customHeight="false" outlineLevel="0" collapsed="false">
      <c r="E1714" s="9" t="str">
        <f aca="false">IF($B1714="","",IFERROR(INDEX(書籍!$B$2:$B$2000,MATCH($B1714,書籍!$A$2:$A$2000,0)),"（沒建檔）"))</f>
        <v/>
      </c>
      <c r="F1714" s="9" t="str">
        <f aca="false">IF($A1714="","",IFERROR(INDEX(會員!$B$2:$B$2000,MATCH($A1714,會員!$A$2:$A$2000,0)),"（沒建檔）"))</f>
        <v/>
      </c>
      <c r="G1714" s="10" t="str">
        <f aca="false">IF($B1714="","",IF($D1714="","未還","已還"))</f>
        <v/>
      </c>
    </row>
    <row r="1715" customFormat="false" ht="15" hidden="false" customHeight="false" outlineLevel="0" collapsed="false">
      <c r="E1715" s="9" t="str">
        <f aca="false">IF($B1715="","",IFERROR(INDEX(書籍!$B$2:$B$2000,MATCH($B1715,書籍!$A$2:$A$2000,0)),"（沒建檔）"))</f>
        <v/>
      </c>
      <c r="F1715" s="9" t="str">
        <f aca="false">IF($A1715="","",IFERROR(INDEX(會員!$B$2:$B$2000,MATCH($A1715,會員!$A$2:$A$2000,0)),"（沒建檔）"))</f>
        <v/>
      </c>
      <c r="G1715" s="10" t="str">
        <f aca="false">IF($B1715="","",IF($D1715="","未還","已還"))</f>
        <v/>
      </c>
    </row>
    <row r="1716" customFormat="false" ht="15" hidden="false" customHeight="false" outlineLevel="0" collapsed="false">
      <c r="E1716" s="9" t="str">
        <f aca="false">IF($B1716="","",IFERROR(INDEX(書籍!$B$2:$B$2000,MATCH($B1716,書籍!$A$2:$A$2000,0)),"（沒建檔）"))</f>
        <v/>
      </c>
      <c r="F1716" s="9" t="str">
        <f aca="false">IF($A1716="","",IFERROR(INDEX(會員!$B$2:$B$2000,MATCH($A1716,會員!$A$2:$A$2000,0)),"（沒建檔）"))</f>
        <v/>
      </c>
      <c r="G1716" s="10" t="str">
        <f aca="false">IF($B1716="","",IF($D1716="","未還","已還"))</f>
        <v/>
      </c>
    </row>
    <row r="1717" customFormat="false" ht="15" hidden="false" customHeight="false" outlineLevel="0" collapsed="false">
      <c r="E1717" s="9" t="str">
        <f aca="false">IF($B1717="","",IFERROR(INDEX(書籍!$B$2:$B$2000,MATCH($B1717,書籍!$A$2:$A$2000,0)),"（沒建檔）"))</f>
        <v/>
      </c>
      <c r="F1717" s="9" t="str">
        <f aca="false">IF($A1717="","",IFERROR(INDEX(會員!$B$2:$B$2000,MATCH($A1717,會員!$A$2:$A$2000,0)),"（沒建檔）"))</f>
        <v/>
      </c>
      <c r="G1717" s="10" t="str">
        <f aca="false">IF($B1717="","",IF($D1717="","未還","已還"))</f>
        <v/>
      </c>
    </row>
    <row r="1718" customFormat="false" ht="15" hidden="false" customHeight="false" outlineLevel="0" collapsed="false">
      <c r="E1718" s="9" t="str">
        <f aca="false">IF($B1718="","",IFERROR(INDEX(書籍!$B$2:$B$2000,MATCH($B1718,書籍!$A$2:$A$2000,0)),"（沒建檔）"))</f>
        <v/>
      </c>
      <c r="F1718" s="9" t="str">
        <f aca="false">IF($A1718="","",IFERROR(INDEX(會員!$B$2:$B$2000,MATCH($A1718,會員!$A$2:$A$2000,0)),"（沒建檔）"))</f>
        <v/>
      </c>
      <c r="G1718" s="10" t="str">
        <f aca="false">IF($B1718="","",IF($D1718="","未還","已還"))</f>
        <v/>
      </c>
    </row>
    <row r="1719" customFormat="false" ht="15" hidden="false" customHeight="false" outlineLevel="0" collapsed="false">
      <c r="E1719" s="9" t="str">
        <f aca="false">IF($B1719="","",IFERROR(INDEX(書籍!$B$2:$B$2000,MATCH($B1719,書籍!$A$2:$A$2000,0)),"（沒建檔）"))</f>
        <v/>
      </c>
      <c r="F1719" s="9" t="str">
        <f aca="false">IF($A1719="","",IFERROR(INDEX(會員!$B$2:$B$2000,MATCH($A1719,會員!$A$2:$A$2000,0)),"（沒建檔）"))</f>
        <v/>
      </c>
      <c r="G1719" s="10" t="str">
        <f aca="false">IF($B1719="","",IF($D1719="","未還","已還"))</f>
        <v/>
      </c>
    </row>
    <row r="1720" customFormat="false" ht="15" hidden="false" customHeight="false" outlineLevel="0" collapsed="false">
      <c r="E1720" s="9" t="str">
        <f aca="false">IF($B1720="","",IFERROR(INDEX(書籍!$B$2:$B$2000,MATCH($B1720,書籍!$A$2:$A$2000,0)),"（沒建檔）"))</f>
        <v/>
      </c>
      <c r="F1720" s="9" t="str">
        <f aca="false">IF($A1720="","",IFERROR(INDEX(會員!$B$2:$B$2000,MATCH($A1720,會員!$A$2:$A$2000,0)),"（沒建檔）"))</f>
        <v/>
      </c>
      <c r="G1720" s="10" t="str">
        <f aca="false">IF($B1720="","",IF($D1720="","未還","已還"))</f>
        <v/>
      </c>
    </row>
    <row r="1721" customFormat="false" ht="15" hidden="false" customHeight="false" outlineLevel="0" collapsed="false">
      <c r="E1721" s="9" t="str">
        <f aca="false">IF($B1721="","",IFERROR(INDEX(書籍!$B$2:$B$2000,MATCH($B1721,書籍!$A$2:$A$2000,0)),"（沒建檔）"))</f>
        <v/>
      </c>
      <c r="F1721" s="9" t="str">
        <f aca="false">IF($A1721="","",IFERROR(INDEX(會員!$B$2:$B$2000,MATCH($A1721,會員!$A$2:$A$2000,0)),"（沒建檔）"))</f>
        <v/>
      </c>
      <c r="G1721" s="10" t="str">
        <f aca="false">IF($B1721="","",IF($D1721="","未還","已還"))</f>
        <v/>
      </c>
    </row>
    <row r="1722" customFormat="false" ht="15" hidden="false" customHeight="false" outlineLevel="0" collapsed="false">
      <c r="E1722" s="9" t="str">
        <f aca="false">IF($B1722="","",IFERROR(INDEX(書籍!$B$2:$B$2000,MATCH($B1722,書籍!$A$2:$A$2000,0)),"（沒建檔）"))</f>
        <v/>
      </c>
      <c r="F1722" s="9" t="str">
        <f aca="false">IF($A1722="","",IFERROR(INDEX(會員!$B$2:$B$2000,MATCH($A1722,會員!$A$2:$A$2000,0)),"（沒建檔）"))</f>
        <v/>
      </c>
      <c r="G1722" s="10" t="str">
        <f aca="false">IF($B1722="","",IF($D1722="","未還","已還"))</f>
        <v/>
      </c>
    </row>
    <row r="1723" customFormat="false" ht="15" hidden="false" customHeight="false" outlineLevel="0" collapsed="false">
      <c r="E1723" s="9" t="str">
        <f aca="false">IF($B1723="","",IFERROR(INDEX(書籍!$B$2:$B$2000,MATCH($B1723,書籍!$A$2:$A$2000,0)),"（沒建檔）"))</f>
        <v/>
      </c>
      <c r="F1723" s="9" t="str">
        <f aca="false">IF($A1723="","",IFERROR(INDEX(會員!$B$2:$B$2000,MATCH($A1723,會員!$A$2:$A$2000,0)),"（沒建檔）"))</f>
        <v/>
      </c>
      <c r="G1723" s="10" t="str">
        <f aca="false">IF($B1723="","",IF($D1723="","未還","已還"))</f>
        <v/>
      </c>
    </row>
    <row r="1724" customFormat="false" ht="15" hidden="false" customHeight="false" outlineLevel="0" collapsed="false">
      <c r="E1724" s="9" t="str">
        <f aca="false">IF($B1724="","",IFERROR(INDEX(書籍!$B$2:$B$2000,MATCH($B1724,書籍!$A$2:$A$2000,0)),"（沒建檔）"))</f>
        <v/>
      </c>
      <c r="F1724" s="9" t="str">
        <f aca="false">IF($A1724="","",IFERROR(INDEX(會員!$B$2:$B$2000,MATCH($A1724,會員!$A$2:$A$2000,0)),"（沒建檔）"))</f>
        <v/>
      </c>
      <c r="G1724" s="10" t="str">
        <f aca="false">IF($B1724="","",IF($D1724="","未還","已還"))</f>
        <v/>
      </c>
    </row>
    <row r="1725" customFormat="false" ht="15" hidden="false" customHeight="false" outlineLevel="0" collapsed="false">
      <c r="E1725" s="9" t="str">
        <f aca="false">IF($B1725="","",IFERROR(INDEX(書籍!$B$2:$B$2000,MATCH($B1725,書籍!$A$2:$A$2000,0)),"（沒建檔）"))</f>
        <v/>
      </c>
      <c r="F1725" s="9" t="str">
        <f aca="false">IF($A1725="","",IFERROR(INDEX(會員!$B$2:$B$2000,MATCH($A1725,會員!$A$2:$A$2000,0)),"（沒建檔）"))</f>
        <v/>
      </c>
      <c r="G1725" s="10" t="str">
        <f aca="false">IF($B1725="","",IF($D1725="","未還","已還"))</f>
        <v/>
      </c>
    </row>
    <row r="1726" customFormat="false" ht="15" hidden="false" customHeight="false" outlineLevel="0" collapsed="false">
      <c r="E1726" s="9" t="str">
        <f aca="false">IF($B1726="","",IFERROR(INDEX(書籍!$B$2:$B$2000,MATCH($B1726,書籍!$A$2:$A$2000,0)),"（沒建檔）"))</f>
        <v/>
      </c>
      <c r="F1726" s="9" t="str">
        <f aca="false">IF($A1726="","",IFERROR(INDEX(會員!$B$2:$B$2000,MATCH($A1726,會員!$A$2:$A$2000,0)),"（沒建檔）"))</f>
        <v/>
      </c>
      <c r="G1726" s="10" t="str">
        <f aca="false">IF($B1726="","",IF($D1726="","未還","已還"))</f>
        <v/>
      </c>
    </row>
    <row r="1727" customFormat="false" ht="15" hidden="false" customHeight="false" outlineLevel="0" collapsed="false">
      <c r="E1727" s="9" t="str">
        <f aca="false">IF($B1727="","",IFERROR(INDEX(書籍!$B$2:$B$2000,MATCH($B1727,書籍!$A$2:$A$2000,0)),"（沒建檔）"))</f>
        <v/>
      </c>
      <c r="F1727" s="9" t="str">
        <f aca="false">IF($A1727="","",IFERROR(INDEX(會員!$B$2:$B$2000,MATCH($A1727,會員!$A$2:$A$2000,0)),"（沒建檔）"))</f>
        <v/>
      </c>
      <c r="G1727" s="10" t="str">
        <f aca="false">IF($B1727="","",IF($D1727="","未還","已還"))</f>
        <v/>
      </c>
    </row>
    <row r="1728" customFormat="false" ht="15" hidden="false" customHeight="false" outlineLevel="0" collapsed="false">
      <c r="E1728" s="9" t="str">
        <f aca="false">IF($B1728="","",IFERROR(INDEX(書籍!$B$2:$B$2000,MATCH($B1728,書籍!$A$2:$A$2000,0)),"（沒建檔）"))</f>
        <v/>
      </c>
      <c r="F1728" s="9" t="str">
        <f aca="false">IF($A1728="","",IFERROR(INDEX(會員!$B$2:$B$2000,MATCH($A1728,會員!$A$2:$A$2000,0)),"（沒建檔）"))</f>
        <v/>
      </c>
      <c r="G1728" s="10" t="str">
        <f aca="false">IF($B1728="","",IF($D1728="","未還","已還"))</f>
        <v/>
      </c>
    </row>
    <row r="1729" customFormat="false" ht="15" hidden="false" customHeight="false" outlineLevel="0" collapsed="false">
      <c r="E1729" s="9" t="str">
        <f aca="false">IF($B1729="","",IFERROR(INDEX(書籍!$B$2:$B$2000,MATCH($B1729,書籍!$A$2:$A$2000,0)),"（沒建檔）"))</f>
        <v/>
      </c>
      <c r="F1729" s="9" t="str">
        <f aca="false">IF($A1729="","",IFERROR(INDEX(會員!$B$2:$B$2000,MATCH($A1729,會員!$A$2:$A$2000,0)),"（沒建檔）"))</f>
        <v/>
      </c>
      <c r="G1729" s="10" t="str">
        <f aca="false">IF($B1729="","",IF($D1729="","未還","已還"))</f>
        <v/>
      </c>
    </row>
    <row r="1730" customFormat="false" ht="15" hidden="false" customHeight="false" outlineLevel="0" collapsed="false">
      <c r="E1730" s="9" t="str">
        <f aca="false">IF($B1730="","",IFERROR(INDEX(書籍!$B$2:$B$2000,MATCH($B1730,書籍!$A$2:$A$2000,0)),"（沒建檔）"))</f>
        <v/>
      </c>
      <c r="F1730" s="9" t="str">
        <f aca="false">IF($A1730="","",IFERROR(INDEX(會員!$B$2:$B$2000,MATCH($A1730,會員!$A$2:$A$2000,0)),"（沒建檔）"))</f>
        <v/>
      </c>
      <c r="G1730" s="10" t="str">
        <f aca="false">IF($B1730="","",IF($D1730="","未還","已還"))</f>
        <v/>
      </c>
    </row>
    <row r="1731" customFormat="false" ht="15" hidden="false" customHeight="false" outlineLevel="0" collapsed="false">
      <c r="E1731" s="9" t="str">
        <f aca="false">IF($B1731="","",IFERROR(INDEX(書籍!$B$2:$B$2000,MATCH($B1731,書籍!$A$2:$A$2000,0)),"（沒建檔）"))</f>
        <v/>
      </c>
      <c r="F1731" s="9" t="str">
        <f aca="false">IF($A1731="","",IFERROR(INDEX(會員!$B$2:$B$2000,MATCH($A1731,會員!$A$2:$A$2000,0)),"（沒建檔）"))</f>
        <v/>
      </c>
      <c r="G1731" s="10" t="str">
        <f aca="false">IF($B1731="","",IF($D1731="","未還","已還"))</f>
        <v/>
      </c>
    </row>
    <row r="1732" customFormat="false" ht="15" hidden="false" customHeight="false" outlineLevel="0" collapsed="false">
      <c r="E1732" s="9" t="str">
        <f aca="false">IF($B1732="","",IFERROR(INDEX(書籍!$B$2:$B$2000,MATCH($B1732,書籍!$A$2:$A$2000,0)),"（沒建檔）"))</f>
        <v/>
      </c>
      <c r="F1732" s="9" t="str">
        <f aca="false">IF($A1732="","",IFERROR(INDEX(會員!$B$2:$B$2000,MATCH($A1732,會員!$A$2:$A$2000,0)),"（沒建檔）"))</f>
        <v/>
      </c>
      <c r="G1732" s="10" t="str">
        <f aca="false">IF($B1732="","",IF($D1732="","未還","已還"))</f>
        <v/>
      </c>
    </row>
    <row r="1733" customFormat="false" ht="15" hidden="false" customHeight="false" outlineLevel="0" collapsed="false">
      <c r="E1733" s="9" t="str">
        <f aca="false">IF($B1733="","",IFERROR(INDEX(書籍!$B$2:$B$2000,MATCH($B1733,書籍!$A$2:$A$2000,0)),"（沒建檔）"))</f>
        <v/>
      </c>
      <c r="F1733" s="9" t="str">
        <f aca="false">IF($A1733="","",IFERROR(INDEX(會員!$B$2:$B$2000,MATCH($A1733,會員!$A$2:$A$2000,0)),"（沒建檔）"))</f>
        <v/>
      </c>
      <c r="G1733" s="10" t="str">
        <f aca="false">IF($B1733="","",IF($D1733="","未還","已還"))</f>
        <v/>
      </c>
    </row>
    <row r="1734" customFormat="false" ht="15" hidden="false" customHeight="false" outlineLevel="0" collapsed="false">
      <c r="E1734" s="9" t="str">
        <f aca="false">IF($B1734="","",IFERROR(INDEX(書籍!$B$2:$B$2000,MATCH($B1734,書籍!$A$2:$A$2000,0)),"（沒建檔）"))</f>
        <v/>
      </c>
      <c r="F1734" s="9" t="str">
        <f aca="false">IF($A1734="","",IFERROR(INDEX(會員!$B$2:$B$2000,MATCH($A1734,會員!$A$2:$A$2000,0)),"（沒建檔）"))</f>
        <v/>
      </c>
      <c r="G1734" s="10" t="str">
        <f aca="false">IF($B1734="","",IF($D1734="","未還","已還"))</f>
        <v/>
      </c>
    </row>
    <row r="1735" customFormat="false" ht="15" hidden="false" customHeight="false" outlineLevel="0" collapsed="false">
      <c r="E1735" s="9" t="str">
        <f aca="false">IF($B1735="","",IFERROR(INDEX(書籍!$B$2:$B$2000,MATCH($B1735,書籍!$A$2:$A$2000,0)),"（沒建檔）"))</f>
        <v/>
      </c>
      <c r="F1735" s="9" t="str">
        <f aca="false">IF($A1735="","",IFERROR(INDEX(會員!$B$2:$B$2000,MATCH($A1735,會員!$A$2:$A$2000,0)),"（沒建檔）"))</f>
        <v/>
      </c>
      <c r="G1735" s="10" t="str">
        <f aca="false">IF($B1735="","",IF($D1735="","未還","已還"))</f>
        <v/>
      </c>
    </row>
    <row r="1736" customFormat="false" ht="15" hidden="false" customHeight="false" outlineLevel="0" collapsed="false">
      <c r="E1736" s="9" t="str">
        <f aca="false">IF($B1736="","",IFERROR(INDEX(書籍!$B$2:$B$2000,MATCH($B1736,書籍!$A$2:$A$2000,0)),"（沒建檔）"))</f>
        <v/>
      </c>
      <c r="F1736" s="9" t="str">
        <f aca="false">IF($A1736="","",IFERROR(INDEX(會員!$B$2:$B$2000,MATCH($A1736,會員!$A$2:$A$2000,0)),"（沒建檔）"))</f>
        <v/>
      </c>
      <c r="G1736" s="10" t="str">
        <f aca="false">IF($B1736="","",IF($D1736="","未還","已還"))</f>
        <v/>
      </c>
    </row>
    <row r="1737" customFormat="false" ht="15" hidden="false" customHeight="false" outlineLevel="0" collapsed="false">
      <c r="E1737" s="9" t="str">
        <f aca="false">IF($B1737="","",IFERROR(INDEX(書籍!$B$2:$B$2000,MATCH($B1737,書籍!$A$2:$A$2000,0)),"（沒建檔）"))</f>
        <v/>
      </c>
      <c r="F1737" s="9" t="str">
        <f aca="false">IF($A1737="","",IFERROR(INDEX(會員!$B$2:$B$2000,MATCH($A1737,會員!$A$2:$A$2000,0)),"（沒建檔）"))</f>
        <v/>
      </c>
      <c r="G1737" s="10" t="str">
        <f aca="false">IF($B1737="","",IF($D1737="","未還","已還"))</f>
        <v/>
      </c>
    </row>
    <row r="1738" customFormat="false" ht="15" hidden="false" customHeight="false" outlineLevel="0" collapsed="false">
      <c r="E1738" s="9" t="str">
        <f aca="false">IF($B1738="","",IFERROR(INDEX(書籍!$B$2:$B$2000,MATCH($B1738,書籍!$A$2:$A$2000,0)),"（沒建檔）"))</f>
        <v/>
      </c>
      <c r="F1738" s="9" t="str">
        <f aca="false">IF($A1738="","",IFERROR(INDEX(會員!$B$2:$B$2000,MATCH($A1738,會員!$A$2:$A$2000,0)),"（沒建檔）"))</f>
        <v/>
      </c>
      <c r="G1738" s="10" t="str">
        <f aca="false">IF($B1738="","",IF($D1738="","未還","已還"))</f>
        <v/>
      </c>
    </row>
    <row r="1739" customFormat="false" ht="15" hidden="false" customHeight="false" outlineLevel="0" collapsed="false">
      <c r="E1739" s="9" t="str">
        <f aca="false">IF($B1739="","",IFERROR(INDEX(書籍!$B$2:$B$2000,MATCH($B1739,書籍!$A$2:$A$2000,0)),"（沒建檔）"))</f>
        <v/>
      </c>
      <c r="F1739" s="9" t="str">
        <f aca="false">IF($A1739="","",IFERROR(INDEX(會員!$B$2:$B$2000,MATCH($A1739,會員!$A$2:$A$2000,0)),"（沒建檔）"))</f>
        <v/>
      </c>
      <c r="G1739" s="10" t="str">
        <f aca="false">IF($B1739="","",IF($D1739="","未還","已還"))</f>
        <v/>
      </c>
    </row>
    <row r="1740" customFormat="false" ht="15" hidden="false" customHeight="false" outlineLevel="0" collapsed="false">
      <c r="E1740" s="9" t="str">
        <f aca="false">IF($B1740="","",IFERROR(INDEX(書籍!$B$2:$B$2000,MATCH($B1740,書籍!$A$2:$A$2000,0)),"（沒建檔）"))</f>
        <v/>
      </c>
      <c r="F1740" s="9" t="str">
        <f aca="false">IF($A1740="","",IFERROR(INDEX(會員!$B$2:$B$2000,MATCH($A1740,會員!$A$2:$A$2000,0)),"（沒建檔）"))</f>
        <v/>
      </c>
      <c r="G1740" s="10" t="str">
        <f aca="false">IF($B1740="","",IF($D1740="","未還","已還"))</f>
        <v/>
      </c>
    </row>
    <row r="1741" customFormat="false" ht="15" hidden="false" customHeight="false" outlineLevel="0" collapsed="false">
      <c r="E1741" s="9" t="str">
        <f aca="false">IF($B1741="","",IFERROR(INDEX(書籍!$B$2:$B$2000,MATCH($B1741,書籍!$A$2:$A$2000,0)),"（沒建檔）"))</f>
        <v/>
      </c>
      <c r="F1741" s="9" t="str">
        <f aca="false">IF($A1741="","",IFERROR(INDEX(會員!$B$2:$B$2000,MATCH($A1741,會員!$A$2:$A$2000,0)),"（沒建檔）"))</f>
        <v/>
      </c>
      <c r="G1741" s="10" t="str">
        <f aca="false">IF($B1741="","",IF($D1741="","未還","已還"))</f>
        <v/>
      </c>
    </row>
    <row r="1742" customFormat="false" ht="15" hidden="false" customHeight="false" outlineLevel="0" collapsed="false">
      <c r="E1742" s="9" t="str">
        <f aca="false">IF($B1742="","",IFERROR(INDEX(書籍!$B$2:$B$2000,MATCH($B1742,書籍!$A$2:$A$2000,0)),"（沒建檔）"))</f>
        <v/>
      </c>
      <c r="F1742" s="9" t="str">
        <f aca="false">IF($A1742="","",IFERROR(INDEX(會員!$B$2:$B$2000,MATCH($A1742,會員!$A$2:$A$2000,0)),"（沒建檔）"))</f>
        <v/>
      </c>
      <c r="G1742" s="10" t="str">
        <f aca="false">IF($B1742="","",IF($D1742="","未還","已還"))</f>
        <v/>
      </c>
    </row>
    <row r="1743" customFormat="false" ht="15" hidden="false" customHeight="false" outlineLevel="0" collapsed="false">
      <c r="E1743" s="9" t="str">
        <f aca="false">IF($B1743="","",IFERROR(INDEX(書籍!$B$2:$B$2000,MATCH($B1743,書籍!$A$2:$A$2000,0)),"（沒建檔）"))</f>
        <v/>
      </c>
      <c r="F1743" s="9" t="str">
        <f aca="false">IF($A1743="","",IFERROR(INDEX(會員!$B$2:$B$2000,MATCH($A1743,會員!$A$2:$A$2000,0)),"（沒建檔）"))</f>
        <v/>
      </c>
      <c r="G1743" s="10" t="str">
        <f aca="false">IF($B1743="","",IF($D1743="","未還","已還"))</f>
        <v/>
      </c>
    </row>
    <row r="1744" customFormat="false" ht="15" hidden="false" customHeight="false" outlineLevel="0" collapsed="false">
      <c r="E1744" s="9" t="str">
        <f aca="false">IF($B1744="","",IFERROR(INDEX(書籍!$B$2:$B$2000,MATCH($B1744,書籍!$A$2:$A$2000,0)),"（沒建檔）"))</f>
        <v/>
      </c>
      <c r="F1744" s="9" t="str">
        <f aca="false">IF($A1744="","",IFERROR(INDEX(會員!$B$2:$B$2000,MATCH($A1744,會員!$A$2:$A$2000,0)),"（沒建檔）"))</f>
        <v/>
      </c>
      <c r="G1744" s="10" t="str">
        <f aca="false">IF($B1744="","",IF($D1744="","未還","已還"))</f>
        <v/>
      </c>
    </row>
    <row r="1745" customFormat="false" ht="15" hidden="false" customHeight="false" outlineLevel="0" collapsed="false">
      <c r="E1745" s="9" t="str">
        <f aca="false">IF($B1745="","",IFERROR(INDEX(書籍!$B$2:$B$2000,MATCH($B1745,書籍!$A$2:$A$2000,0)),"（沒建檔）"))</f>
        <v/>
      </c>
      <c r="F1745" s="9" t="str">
        <f aca="false">IF($A1745="","",IFERROR(INDEX(會員!$B$2:$B$2000,MATCH($A1745,會員!$A$2:$A$2000,0)),"（沒建檔）"))</f>
        <v/>
      </c>
      <c r="G1745" s="10" t="str">
        <f aca="false">IF($B1745="","",IF($D1745="","未還","已還"))</f>
        <v/>
      </c>
    </row>
    <row r="1746" customFormat="false" ht="15" hidden="false" customHeight="false" outlineLevel="0" collapsed="false">
      <c r="E1746" s="9" t="str">
        <f aca="false">IF($B1746="","",IFERROR(INDEX(書籍!$B$2:$B$2000,MATCH($B1746,書籍!$A$2:$A$2000,0)),"（沒建檔）"))</f>
        <v/>
      </c>
      <c r="F1746" s="9" t="str">
        <f aca="false">IF($A1746="","",IFERROR(INDEX(會員!$B$2:$B$2000,MATCH($A1746,會員!$A$2:$A$2000,0)),"（沒建檔）"))</f>
        <v/>
      </c>
      <c r="G1746" s="10" t="str">
        <f aca="false">IF($B1746="","",IF($D1746="","未還","已還"))</f>
        <v/>
      </c>
    </row>
    <row r="1747" customFormat="false" ht="15" hidden="false" customHeight="false" outlineLevel="0" collapsed="false">
      <c r="E1747" s="9" t="str">
        <f aca="false">IF($B1747="","",IFERROR(INDEX(書籍!$B$2:$B$2000,MATCH($B1747,書籍!$A$2:$A$2000,0)),"（沒建檔）"))</f>
        <v/>
      </c>
      <c r="F1747" s="9" t="str">
        <f aca="false">IF($A1747="","",IFERROR(INDEX(會員!$B$2:$B$2000,MATCH($A1747,會員!$A$2:$A$2000,0)),"（沒建檔）"))</f>
        <v/>
      </c>
      <c r="G1747" s="10" t="str">
        <f aca="false">IF($B1747="","",IF($D1747="","未還","已還"))</f>
        <v/>
      </c>
    </row>
    <row r="1748" customFormat="false" ht="15" hidden="false" customHeight="false" outlineLevel="0" collapsed="false">
      <c r="E1748" s="9" t="str">
        <f aca="false">IF($B1748="","",IFERROR(INDEX(書籍!$B$2:$B$2000,MATCH($B1748,書籍!$A$2:$A$2000,0)),"（沒建檔）"))</f>
        <v/>
      </c>
      <c r="F1748" s="9" t="str">
        <f aca="false">IF($A1748="","",IFERROR(INDEX(會員!$B$2:$B$2000,MATCH($A1748,會員!$A$2:$A$2000,0)),"（沒建檔）"))</f>
        <v/>
      </c>
      <c r="G1748" s="10" t="str">
        <f aca="false">IF($B1748="","",IF($D1748="","未還","已還"))</f>
        <v/>
      </c>
    </row>
    <row r="1749" customFormat="false" ht="15" hidden="false" customHeight="false" outlineLevel="0" collapsed="false">
      <c r="E1749" s="9" t="str">
        <f aca="false">IF($B1749="","",IFERROR(INDEX(書籍!$B$2:$B$2000,MATCH($B1749,書籍!$A$2:$A$2000,0)),"（沒建檔）"))</f>
        <v/>
      </c>
      <c r="F1749" s="9" t="str">
        <f aca="false">IF($A1749="","",IFERROR(INDEX(會員!$B$2:$B$2000,MATCH($A1749,會員!$A$2:$A$2000,0)),"（沒建檔）"))</f>
        <v/>
      </c>
      <c r="G1749" s="10" t="str">
        <f aca="false">IF($B1749="","",IF($D1749="","未還","已還"))</f>
        <v/>
      </c>
    </row>
    <row r="1750" customFormat="false" ht="15" hidden="false" customHeight="false" outlineLevel="0" collapsed="false">
      <c r="E1750" s="9" t="str">
        <f aca="false">IF($B1750="","",IFERROR(INDEX(書籍!$B$2:$B$2000,MATCH($B1750,書籍!$A$2:$A$2000,0)),"（沒建檔）"))</f>
        <v/>
      </c>
      <c r="F1750" s="9" t="str">
        <f aca="false">IF($A1750="","",IFERROR(INDEX(會員!$B$2:$B$2000,MATCH($A1750,會員!$A$2:$A$2000,0)),"（沒建檔）"))</f>
        <v/>
      </c>
      <c r="G1750" s="10" t="str">
        <f aca="false">IF($B1750="","",IF($D1750="","未還","已還"))</f>
        <v/>
      </c>
    </row>
    <row r="1751" customFormat="false" ht="15" hidden="false" customHeight="false" outlineLevel="0" collapsed="false">
      <c r="E1751" s="9" t="str">
        <f aca="false">IF($B1751="","",IFERROR(INDEX(書籍!$B$2:$B$2000,MATCH($B1751,書籍!$A$2:$A$2000,0)),"（沒建檔）"))</f>
        <v/>
      </c>
      <c r="F1751" s="9" t="str">
        <f aca="false">IF($A1751="","",IFERROR(INDEX(會員!$B$2:$B$2000,MATCH($A1751,會員!$A$2:$A$2000,0)),"（沒建檔）"))</f>
        <v/>
      </c>
      <c r="G1751" s="10" t="str">
        <f aca="false">IF($B1751="","",IF($D1751="","未還","已還"))</f>
        <v/>
      </c>
    </row>
    <row r="1752" customFormat="false" ht="15" hidden="false" customHeight="false" outlineLevel="0" collapsed="false">
      <c r="E1752" s="9" t="str">
        <f aca="false">IF($B1752="","",IFERROR(INDEX(書籍!$B$2:$B$2000,MATCH($B1752,書籍!$A$2:$A$2000,0)),"（沒建檔）"))</f>
        <v/>
      </c>
      <c r="F1752" s="9" t="str">
        <f aca="false">IF($A1752="","",IFERROR(INDEX(會員!$B$2:$B$2000,MATCH($A1752,會員!$A$2:$A$2000,0)),"（沒建檔）"))</f>
        <v/>
      </c>
      <c r="G1752" s="10" t="str">
        <f aca="false">IF($B1752="","",IF($D1752="","未還","已還"))</f>
        <v/>
      </c>
    </row>
    <row r="1753" customFormat="false" ht="15" hidden="false" customHeight="false" outlineLevel="0" collapsed="false">
      <c r="E1753" s="9" t="str">
        <f aca="false">IF($B1753="","",IFERROR(INDEX(書籍!$B$2:$B$2000,MATCH($B1753,書籍!$A$2:$A$2000,0)),"（沒建檔）"))</f>
        <v/>
      </c>
      <c r="F1753" s="9" t="str">
        <f aca="false">IF($A1753="","",IFERROR(INDEX(會員!$B$2:$B$2000,MATCH($A1753,會員!$A$2:$A$2000,0)),"（沒建檔）"))</f>
        <v/>
      </c>
      <c r="G1753" s="10" t="str">
        <f aca="false">IF($B1753="","",IF($D1753="","未還","已還"))</f>
        <v/>
      </c>
    </row>
    <row r="1754" customFormat="false" ht="15" hidden="false" customHeight="false" outlineLevel="0" collapsed="false">
      <c r="E1754" s="9" t="str">
        <f aca="false">IF($B1754="","",IFERROR(INDEX(書籍!$B$2:$B$2000,MATCH($B1754,書籍!$A$2:$A$2000,0)),"（沒建檔）"))</f>
        <v/>
      </c>
      <c r="F1754" s="9" t="str">
        <f aca="false">IF($A1754="","",IFERROR(INDEX(會員!$B$2:$B$2000,MATCH($A1754,會員!$A$2:$A$2000,0)),"（沒建檔）"))</f>
        <v/>
      </c>
      <c r="G1754" s="10" t="str">
        <f aca="false">IF($B1754="","",IF($D1754="","未還","已還"))</f>
        <v/>
      </c>
    </row>
    <row r="1755" customFormat="false" ht="15" hidden="false" customHeight="false" outlineLevel="0" collapsed="false">
      <c r="E1755" s="9" t="str">
        <f aca="false">IF($B1755="","",IFERROR(INDEX(書籍!$B$2:$B$2000,MATCH($B1755,書籍!$A$2:$A$2000,0)),"（沒建檔）"))</f>
        <v/>
      </c>
      <c r="F1755" s="9" t="str">
        <f aca="false">IF($A1755="","",IFERROR(INDEX(會員!$B$2:$B$2000,MATCH($A1755,會員!$A$2:$A$2000,0)),"（沒建檔）"))</f>
        <v/>
      </c>
      <c r="G1755" s="10" t="str">
        <f aca="false">IF($B1755="","",IF($D1755="","未還","已還"))</f>
        <v/>
      </c>
    </row>
    <row r="1756" customFormat="false" ht="15" hidden="false" customHeight="false" outlineLevel="0" collapsed="false">
      <c r="E1756" s="9" t="str">
        <f aca="false">IF($B1756="","",IFERROR(INDEX(書籍!$B$2:$B$2000,MATCH($B1756,書籍!$A$2:$A$2000,0)),"（沒建檔）"))</f>
        <v/>
      </c>
      <c r="F1756" s="9" t="str">
        <f aca="false">IF($A1756="","",IFERROR(INDEX(會員!$B$2:$B$2000,MATCH($A1756,會員!$A$2:$A$2000,0)),"（沒建檔）"))</f>
        <v/>
      </c>
      <c r="G1756" s="10" t="str">
        <f aca="false">IF($B1756="","",IF($D1756="","未還","已還"))</f>
        <v/>
      </c>
    </row>
    <row r="1757" customFormat="false" ht="15" hidden="false" customHeight="false" outlineLevel="0" collapsed="false">
      <c r="E1757" s="9" t="str">
        <f aca="false">IF($B1757="","",IFERROR(INDEX(書籍!$B$2:$B$2000,MATCH($B1757,書籍!$A$2:$A$2000,0)),"（沒建檔）"))</f>
        <v/>
      </c>
      <c r="F1757" s="9" t="str">
        <f aca="false">IF($A1757="","",IFERROR(INDEX(會員!$B$2:$B$2000,MATCH($A1757,會員!$A$2:$A$2000,0)),"（沒建檔）"))</f>
        <v/>
      </c>
      <c r="G1757" s="10" t="str">
        <f aca="false">IF($B1757="","",IF($D1757="","未還","已還"))</f>
        <v/>
      </c>
    </row>
    <row r="1758" customFormat="false" ht="15" hidden="false" customHeight="false" outlineLevel="0" collapsed="false">
      <c r="E1758" s="9" t="str">
        <f aca="false">IF($B1758="","",IFERROR(INDEX(書籍!$B$2:$B$2000,MATCH($B1758,書籍!$A$2:$A$2000,0)),"（沒建檔）"))</f>
        <v/>
      </c>
      <c r="F1758" s="9" t="str">
        <f aca="false">IF($A1758="","",IFERROR(INDEX(會員!$B$2:$B$2000,MATCH($A1758,會員!$A$2:$A$2000,0)),"（沒建檔）"))</f>
        <v/>
      </c>
      <c r="G1758" s="10" t="str">
        <f aca="false">IF($B1758="","",IF($D1758="","未還","已還"))</f>
        <v/>
      </c>
    </row>
    <row r="1759" customFormat="false" ht="15" hidden="false" customHeight="false" outlineLevel="0" collapsed="false">
      <c r="E1759" s="9" t="str">
        <f aca="false">IF($B1759="","",IFERROR(INDEX(書籍!$B$2:$B$2000,MATCH($B1759,書籍!$A$2:$A$2000,0)),"（沒建檔）"))</f>
        <v/>
      </c>
      <c r="F1759" s="9" t="str">
        <f aca="false">IF($A1759="","",IFERROR(INDEX(會員!$B$2:$B$2000,MATCH($A1759,會員!$A$2:$A$2000,0)),"（沒建檔）"))</f>
        <v/>
      </c>
      <c r="G1759" s="10" t="str">
        <f aca="false">IF($B1759="","",IF($D1759="","未還","已還"))</f>
        <v/>
      </c>
    </row>
    <row r="1760" customFormat="false" ht="15" hidden="false" customHeight="false" outlineLevel="0" collapsed="false">
      <c r="E1760" s="9" t="str">
        <f aca="false">IF($B1760="","",IFERROR(INDEX(書籍!$B$2:$B$2000,MATCH($B1760,書籍!$A$2:$A$2000,0)),"（沒建檔）"))</f>
        <v/>
      </c>
      <c r="F1760" s="9" t="str">
        <f aca="false">IF($A1760="","",IFERROR(INDEX(會員!$B$2:$B$2000,MATCH($A1760,會員!$A$2:$A$2000,0)),"（沒建檔）"))</f>
        <v/>
      </c>
      <c r="G1760" s="10" t="str">
        <f aca="false">IF($B1760="","",IF($D1760="","未還","已還"))</f>
        <v/>
      </c>
    </row>
    <row r="1761" customFormat="false" ht="15" hidden="false" customHeight="false" outlineLevel="0" collapsed="false">
      <c r="E1761" s="9" t="str">
        <f aca="false">IF($B1761="","",IFERROR(INDEX(書籍!$B$2:$B$2000,MATCH($B1761,書籍!$A$2:$A$2000,0)),"（沒建檔）"))</f>
        <v/>
      </c>
      <c r="F1761" s="9" t="str">
        <f aca="false">IF($A1761="","",IFERROR(INDEX(會員!$B$2:$B$2000,MATCH($A1761,會員!$A$2:$A$2000,0)),"（沒建檔）"))</f>
        <v/>
      </c>
      <c r="G1761" s="10" t="str">
        <f aca="false">IF($B1761="","",IF($D1761="","未還","已還"))</f>
        <v/>
      </c>
    </row>
    <row r="1762" customFormat="false" ht="15" hidden="false" customHeight="false" outlineLevel="0" collapsed="false">
      <c r="E1762" s="9" t="str">
        <f aca="false">IF($B1762="","",IFERROR(INDEX(書籍!$B$2:$B$2000,MATCH($B1762,書籍!$A$2:$A$2000,0)),"（沒建檔）"))</f>
        <v/>
      </c>
      <c r="F1762" s="9" t="str">
        <f aca="false">IF($A1762="","",IFERROR(INDEX(會員!$B$2:$B$2000,MATCH($A1762,會員!$A$2:$A$2000,0)),"（沒建檔）"))</f>
        <v/>
      </c>
      <c r="G1762" s="10" t="str">
        <f aca="false">IF($B1762="","",IF($D1762="","未還","已還"))</f>
        <v/>
      </c>
    </row>
    <row r="1763" customFormat="false" ht="15" hidden="false" customHeight="false" outlineLevel="0" collapsed="false">
      <c r="E1763" s="9" t="str">
        <f aca="false">IF($B1763="","",IFERROR(INDEX(書籍!$B$2:$B$2000,MATCH($B1763,書籍!$A$2:$A$2000,0)),"（沒建檔）"))</f>
        <v/>
      </c>
      <c r="F1763" s="9" t="str">
        <f aca="false">IF($A1763="","",IFERROR(INDEX(會員!$B$2:$B$2000,MATCH($A1763,會員!$A$2:$A$2000,0)),"（沒建檔）"))</f>
        <v/>
      </c>
      <c r="G1763" s="10" t="str">
        <f aca="false">IF($B1763="","",IF($D1763="","未還","已還"))</f>
        <v/>
      </c>
    </row>
    <row r="1764" customFormat="false" ht="15" hidden="false" customHeight="false" outlineLevel="0" collapsed="false">
      <c r="E1764" s="9" t="str">
        <f aca="false">IF($B1764="","",IFERROR(INDEX(書籍!$B$2:$B$2000,MATCH($B1764,書籍!$A$2:$A$2000,0)),"（沒建檔）"))</f>
        <v/>
      </c>
      <c r="F1764" s="9" t="str">
        <f aca="false">IF($A1764="","",IFERROR(INDEX(會員!$B$2:$B$2000,MATCH($A1764,會員!$A$2:$A$2000,0)),"（沒建檔）"))</f>
        <v/>
      </c>
      <c r="G1764" s="10" t="str">
        <f aca="false">IF($B1764="","",IF($D1764="","未還","已還"))</f>
        <v/>
      </c>
    </row>
    <row r="1765" customFormat="false" ht="15" hidden="false" customHeight="false" outlineLevel="0" collapsed="false">
      <c r="E1765" s="9" t="str">
        <f aca="false">IF($B1765="","",IFERROR(INDEX(書籍!$B$2:$B$2000,MATCH($B1765,書籍!$A$2:$A$2000,0)),"（沒建檔）"))</f>
        <v/>
      </c>
      <c r="F1765" s="9" t="str">
        <f aca="false">IF($A1765="","",IFERROR(INDEX(會員!$B$2:$B$2000,MATCH($A1765,會員!$A$2:$A$2000,0)),"（沒建檔）"))</f>
        <v/>
      </c>
      <c r="G1765" s="10" t="str">
        <f aca="false">IF($B1765="","",IF($D1765="","未還","已還"))</f>
        <v/>
      </c>
    </row>
    <row r="1766" customFormat="false" ht="15" hidden="false" customHeight="false" outlineLevel="0" collapsed="false">
      <c r="E1766" s="9" t="str">
        <f aca="false">IF($B1766="","",IFERROR(INDEX(書籍!$B$2:$B$2000,MATCH($B1766,書籍!$A$2:$A$2000,0)),"（沒建檔）"))</f>
        <v/>
      </c>
      <c r="F1766" s="9" t="str">
        <f aca="false">IF($A1766="","",IFERROR(INDEX(會員!$B$2:$B$2000,MATCH($A1766,會員!$A$2:$A$2000,0)),"（沒建檔）"))</f>
        <v/>
      </c>
      <c r="G1766" s="10" t="str">
        <f aca="false">IF($B1766="","",IF($D1766="","未還","已還"))</f>
        <v/>
      </c>
    </row>
    <row r="1767" customFormat="false" ht="15" hidden="false" customHeight="false" outlineLevel="0" collapsed="false">
      <c r="E1767" s="9" t="str">
        <f aca="false">IF($B1767="","",IFERROR(INDEX(書籍!$B$2:$B$2000,MATCH($B1767,書籍!$A$2:$A$2000,0)),"（沒建檔）"))</f>
        <v/>
      </c>
      <c r="F1767" s="9" t="str">
        <f aca="false">IF($A1767="","",IFERROR(INDEX(會員!$B$2:$B$2000,MATCH($A1767,會員!$A$2:$A$2000,0)),"（沒建檔）"))</f>
        <v/>
      </c>
      <c r="G1767" s="10" t="str">
        <f aca="false">IF($B1767="","",IF($D1767="","未還","已還"))</f>
        <v/>
      </c>
    </row>
    <row r="1768" customFormat="false" ht="15" hidden="false" customHeight="false" outlineLevel="0" collapsed="false">
      <c r="E1768" s="9" t="str">
        <f aca="false">IF($B1768="","",IFERROR(INDEX(書籍!$B$2:$B$2000,MATCH($B1768,書籍!$A$2:$A$2000,0)),"（沒建檔）"))</f>
        <v/>
      </c>
      <c r="F1768" s="9" t="str">
        <f aca="false">IF($A1768="","",IFERROR(INDEX(會員!$B$2:$B$2000,MATCH($A1768,會員!$A$2:$A$2000,0)),"（沒建檔）"))</f>
        <v/>
      </c>
      <c r="G1768" s="10" t="str">
        <f aca="false">IF($B1768="","",IF($D1768="","未還","已還"))</f>
        <v/>
      </c>
    </row>
    <row r="1769" customFormat="false" ht="15" hidden="false" customHeight="false" outlineLevel="0" collapsed="false">
      <c r="E1769" s="9" t="str">
        <f aca="false">IF($B1769="","",IFERROR(INDEX(書籍!$B$2:$B$2000,MATCH($B1769,書籍!$A$2:$A$2000,0)),"（沒建檔）"))</f>
        <v/>
      </c>
      <c r="F1769" s="9" t="str">
        <f aca="false">IF($A1769="","",IFERROR(INDEX(會員!$B$2:$B$2000,MATCH($A1769,會員!$A$2:$A$2000,0)),"（沒建檔）"))</f>
        <v/>
      </c>
      <c r="G1769" s="10" t="str">
        <f aca="false">IF($B1769="","",IF($D1769="","未還","已還"))</f>
        <v/>
      </c>
    </row>
    <row r="1770" customFormat="false" ht="15" hidden="false" customHeight="false" outlineLevel="0" collapsed="false">
      <c r="E1770" s="9" t="str">
        <f aca="false">IF($B1770="","",IFERROR(INDEX(書籍!$B$2:$B$2000,MATCH($B1770,書籍!$A$2:$A$2000,0)),"（沒建檔）"))</f>
        <v/>
      </c>
      <c r="F1770" s="9" t="str">
        <f aca="false">IF($A1770="","",IFERROR(INDEX(會員!$B$2:$B$2000,MATCH($A1770,會員!$A$2:$A$2000,0)),"（沒建檔）"))</f>
        <v/>
      </c>
      <c r="G1770" s="10" t="str">
        <f aca="false">IF($B1770="","",IF($D1770="","未還","已還"))</f>
        <v/>
      </c>
    </row>
    <row r="1771" customFormat="false" ht="15" hidden="false" customHeight="false" outlineLevel="0" collapsed="false">
      <c r="E1771" s="9" t="str">
        <f aca="false">IF($B1771="","",IFERROR(INDEX(書籍!$B$2:$B$2000,MATCH($B1771,書籍!$A$2:$A$2000,0)),"（沒建檔）"))</f>
        <v/>
      </c>
      <c r="F1771" s="9" t="str">
        <f aca="false">IF($A1771="","",IFERROR(INDEX(會員!$B$2:$B$2000,MATCH($A1771,會員!$A$2:$A$2000,0)),"（沒建檔）"))</f>
        <v/>
      </c>
      <c r="G1771" s="10" t="str">
        <f aca="false">IF($B1771="","",IF($D1771="","未還","已還"))</f>
        <v/>
      </c>
    </row>
    <row r="1772" customFormat="false" ht="15" hidden="false" customHeight="false" outlineLevel="0" collapsed="false">
      <c r="E1772" s="9" t="str">
        <f aca="false">IF($B1772="","",IFERROR(INDEX(書籍!$B$2:$B$2000,MATCH($B1772,書籍!$A$2:$A$2000,0)),"（沒建檔）"))</f>
        <v/>
      </c>
      <c r="F1772" s="9" t="str">
        <f aca="false">IF($A1772="","",IFERROR(INDEX(會員!$B$2:$B$2000,MATCH($A1772,會員!$A$2:$A$2000,0)),"（沒建檔）"))</f>
        <v/>
      </c>
      <c r="G1772" s="10" t="str">
        <f aca="false">IF($B1772="","",IF($D1772="","未還","已還"))</f>
        <v/>
      </c>
    </row>
    <row r="1773" customFormat="false" ht="15" hidden="false" customHeight="false" outlineLevel="0" collapsed="false">
      <c r="E1773" s="9" t="str">
        <f aca="false">IF($B1773="","",IFERROR(INDEX(書籍!$B$2:$B$2000,MATCH($B1773,書籍!$A$2:$A$2000,0)),"（沒建檔）"))</f>
        <v/>
      </c>
      <c r="F1773" s="9" t="str">
        <f aca="false">IF($A1773="","",IFERROR(INDEX(會員!$B$2:$B$2000,MATCH($A1773,會員!$A$2:$A$2000,0)),"（沒建檔）"))</f>
        <v/>
      </c>
      <c r="G1773" s="10" t="str">
        <f aca="false">IF($B1773="","",IF($D1773="","未還","已還"))</f>
        <v/>
      </c>
    </row>
    <row r="1774" customFormat="false" ht="15" hidden="false" customHeight="false" outlineLevel="0" collapsed="false">
      <c r="E1774" s="9" t="str">
        <f aca="false">IF($B1774="","",IFERROR(INDEX(書籍!$B$2:$B$2000,MATCH($B1774,書籍!$A$2:$A$2000,0)),"（沒建檔）"))</f>
        <v/>
      </c>
      <c r="F1774" s="9" t="str">
        <f aca="false">IF($A1774="","",IFERROR(INDEX(會員!$B$2:$B$2000,MATCH($A1774,會員!$A$2:$A$2000,0)),"（沒建檔）"))</f>
        <v/>
      </c>
      <c r="G1774" s="10" t="str">
        <f aca="false">IF($B1774="","",IF($D1774="","未還","已還"))</f>
        <v/>
      </c>
    </row>
    <row r="1775" customFormat="false" ht="15" hidden="false" customHeight="false" outlineLevel="0" collapsed="false">
      <c r="E1775" s="9" t="str">
        <f aca="false">IF($B1775="","",IFERROR(INDEX(書籍!$B$2:$B$2000,MATCH($B1775,書籍!$A$2:$A$2000,0)),"（沒建檔）"))</f>
        <v/>
      </c>
      <c r="F1775" s="9" t="str">
        <f aca="false">IF($A1775="","",IFERROR(INDEX(會員!$B$2:$B$2000,MATCH($A1775,會員!$A$2:$A$2000,0)),"（沒建檔）"))</f>
        <v/>
      </c>
      <c r="G1775" s="10" t="str">
        <f aca="false">IF($B1775="","",IF($D1775="","未還","已還"))</f>
        <v/>
      </c>
    </row>
    <row r="1776" customFormat="false" ht="15" hidden="false" customHeight="false" outlineLevel="0" collapsed="false">
      <c r="E1776" s="9" t="str">
        <f aca="false">IF($B1776="","",IFERROR(INDEX(書籍!$B$2:$B$2000,MATCH($B1776,書籍!$A$2:$A$2000,0)),"（沒建檔）"))</f>
        <v/>
      </c>
      <c r="F1776" s="9" t="str">
        <f aca="false">IF($A1776="","",IFERROR(INDEX(會員!$B$2:$B$2000,MATCH($A1776,會員!$A$2:$A$2000,0)),"（沒建檔）"))</f>
        <v/>
      </c>
      <c r="G1776" s="10" t="str">
        <f aca="false">IF($B1776="","",IF($D1776="","未還","已還"))</f>
        <v/>
      </c>
    </row>
    <row r="1777" customFormat="false" ht="15" hidden="false" customHeight="false" outlineLevel="0" collapsed="false">
      <c r="E1777" s="9" t="str">
        <f aca="false">IF($B1777="","",IFERROR(INDEX(書籍!$B$2:$B$2000,MATCH($B1777,書籍!$A$2:$A$2000,0)),"（沒建檔）"))</f>
        <v/>
      </c>
      <c r="F1777" s="9" t="str">
        <f aca="false">IF($A1777="","",IFERROR(INDEX(會員!$B$2:$B$2000,MATCH($A1777,會員!$A$2:$A$2000,0)),"（沒建檔）"))</f>
        <v/>
      </c>
      <c r="G1777" s="10" t="str">
        <f aca="false">IF($B1777="","",IF($D1777="","未還","已還"))</f>
        <v/>
      </c>
    </row>
    <row r="1778" customFormat="false" ht="15" hidden="false" customHeight="false" outlineLevel="0" collapsed="false">
      <c r="E1778" s="9" t="str">
        <f aca="false">IF($B1778="","",IFERROR(INDEX(書籍!$B$2:$B$2000,MATCH($B1778,書籍!$A$2:$A$2000,0)),"（沒建檔）"))</f>
        <v/>
      </c>
      <c r="F1778" s="9" t="str">
        <f aca="false">IF($A1778="","",IFERROR(INDEX(會員!$B$2:$B$2000,MATCH($A1778,會員!$A$2:$A$2000,0)),"（沒建檔）"))</f>
        <v/>
      </c>
      <c r="G1778" s="10" t="str">
        <f aca="false">IF($B1778="","",IF($D1778="","未還","已還"))</f>
        <v/>
      </c>
    </row>
    <row r="1779" customFormat="false" ht="15" hidden="false" customHeight="false" outlineLevel="0" collapsed="false">
      <c r="E1779" s="9" t="str">
        <f aca="false">IF($B1779="","",IFERROR(INDEX(書籍!$B$2:$B$2000,MATCH($B1779,書籍!$A$2:$A$2000,0)),"（沒建檔）"))</f>
        <v/>
      </c>
      <c r="F1779" s="9" t="str">
        <f aca="false">IF($A1779="","",IFERROR(INDEX(會員!$B$2:$B$2000,MATCH($A1779,會員!$A$2:$A$2000,0)),"（沒建檔）"))</f>
        <v/>
      </c>
      <c r="G1779" s="10" t="str">
        <f aca="false">IF($B1779="","",IF($D1779="","未還","已還"))</f>
        <v/>
      </c>
    </row>
    <row r="1780" customFormat="false" ht="15" hidden="false" customHeight="false" outlineLevel="0" collapsed="false">
      <c r="E1780" s="9" t="str">
        <f aca="false">IF($B1780="","",IFERROR(INDEX(書籍!$B$2:$B$2000,MATCH($B1780,書籍!$A$2:$A$2000,0)),"（沒建檔）"))</f>
        <v/>
      </c>
      <c r="F1780" s="9" t="str">
        <f aca="false">IF($A1780="","",IFERROR(INDEX(會員!$B$2:$B$2000,MATCH($A1780,會員!$A$2:$A$2000,0)),"（沒建檔）"))</f>
        <v/>
      </c>
      <c r="G1780" s="10" t="str">
        <f aca="false">IF($B1780="","",IF($D1780="","未還","已還"))</f>
        <v/>
      </c>
    </row>
    <row r="1781" customFormat="false" ht="15" hidden="false" customHeight="false" outlineLevel="0" collapsed="false">
      <c r="E1781" s="9" t="str">
        <f aca="false">IF($B1781="","",IFERROR(INDEX(書籍!$B$2:$B$2000,MATCH($B1781,書籍!$A$2:$A$2000,0)),"（沒建檔）"))</f>
        <v/>
      </c>
      <c r="F1781" s="9" t="str">
        <f aca="false">IF($A1781="","",IFERROR(INDEX(會員!$B$2:$B$2000,MATCH($A1781,會員!$A$2:$A$2000,0)),"（沒建檔）"))</f>
        <v/>
      </c>
      <c r="G1781" s="10" t="str">
        <f aca="false">IF($B1781="","",IF($D1781="","未還","已還"))</f>
        <v/>
      </c>
    </row>
    <row r="1782" customFormat="false" ht="15" hidden="false" customHeight="false" outlineLevel="0" collapsed="false">
      <c r="E1782" s="9" t="str">
        <f aca="false">IF($B1782="","",IFERROR(INDEX(書籍!$B$2:$B$2000,MATCH($B1782,書籍!$A$2:$A$2000,0)),"（沒建檔）"))</f>
        <v/>
      </c>
      <c r="F1782" s="9" t="str">
        <f aca="false">IF($A1782="","",IFERROR(INDEX(會員!$B$2:$B$2000,MATCH($A1782,會員!$A$2:$A$2000,0)),"（沒建檔）"))</f>
        <v/>
      </c>
      <c r="G1782" s="10" t="str">
        <f aca="false">IF($B1782="","",IF($D1782="","未還","已還"))</f>
        <v/>
      </c>
    </row>
    <row r="1783" customFormat="false" ht="15" hidden="false" customHeight="false" outlineLevel="0" collapsed="false">
      <c r="E1783" s="9" t="str">
        <f aca="false">IF($B1783="","",IFERROR(INDEX(書籍!$B$2:$B$2000,MATCH($B1783,書籍!$A$2:$A$2000,0)),"（沒建檔）"))</f>
        <v/>
      </c>
      <c r="F1783" s="9" t="str">
        <f aca="false">IF($A1783="","",IFERROR(INDEX(會員!$B$2:$B$2000,MATCH($A1783,會員!$A$2:$A$2000,0)),"（沒建檔）"))</f>
        <v/>
      </c>
      <c r="G1783" s="10" t="str">
        <f aca="false">IF($B1783="","",IF($D1783="","未還","已還"))</f>
        <v/>
      </c>
    </row>
    <row r="1784" customFormat="false" ht="15" hidden="false" customHeight="false" outlineLevel="0" collapsed="false">
      <c r="E1784" s="9" t="str">
        <f aca="false">IF($B1784="","",IFERROR(INDEX(書籍!$B$2:$B$2000,MATCH($B1784,書籍!$A$2:$A$2000,0)),"（沒建檔）"))</f>
        <v/>
      </c>
      <c r="F1784" s="9" t="str">
        <f aca="false">IF($A1784="","",IFERROR(INDEX(會員!$B$2:$B$2000,MATCH($A1784,會員!$A$2:$A$2000,0)),"（沒建檔）"))</f>
        <v/>
      </c>
      <c r="G1784" s="10" t="str">
        <f aca="false">IF($B1784="","",IF($D1784="","未還","已還"))</f>
        <v/>
      </c>
    </row>
    <row r="1785" customFormat="false" ht="15" hidden="false" customHeight="false" outlineLevel="0" collapsed="false">
      <c r="E1785" s="9" t="str">
        <f aca="false">IF($B1785="","",IFERROR(INDEX(書籍!$B$2:$B$2000,MATCH($B1785,書籍!$A$2:$A$2000,0)),"（沒建檔）"))</f>
        <v/>
      </c>
      <c r="F1785" s="9" t="str">
        <f aca="false">IF($A1785="","",IFERROR(INDEX(會員!$B$2:$B$2000,MATCH($A1785,會員!$A$2:$A$2000,0)),"（沒建檔）"))</f>
        <v/>
      </c>
      <c r="G1785" s="10" t="str">
        <f aca="false">IF($B1785="","",IF($D1785="","未還","已還"))</f>
        <v/>
      </c>
    </row>
    <row r="1786" customFormat="false" ht="15" hidden="false" customHeight="false" outlineLevel="0" collapsed="false">
      <c r="E1786" s="9" t="str">
        <f aca="false">IF($B1786="","",IFERROR(INDEX(書籍!$B$2:$B$2000,MATCH($B1786,書籍!$A$2:$A$2000,0)),"（沒建檔）"))</f>
        <v/>
      </c>
      <c r="F1786" s="9" t="str">
        <f aca="false">IF($A1786="","",IFERROR(INDEX(會員!$B$2:$B$2000,MATCH($A1786,會員!$A$2:$A$2000,0)),"（沒建檔）"))</f>
        <v/>
      </c>
      <c r="G1786" s="10" t="str">
        <f aca="false">IF($B1786="","",IF($D1786="","未還","已還"))</f>
        <v/>
      </c>
    </row>
    <row r="1787" customFormat="false" ht="15" hidden="false" customHeight="false" outlineLevel="0" collapsed="false">
      <c r="E1787" s="9" t="str">
        <f aca="false">IF($B1787="","",IFERROR(INDEX(書籍!$B$2:$B$2000,MATCH($B1787,書籍!$A$2:$A$2000,0)),"（沒建檔）"))</f>
        <v/>
      </c>
      <c r="F1787" s="9" t="str">
        <f aca="false">IF($A1787="","",IFERROR(INDEX(會員!$B$2:$B$2000,MATCH($A1787,會員!$A$2:$A$2000,0)),"（沒建檔）"))</f>
        <v/>
      </c>
      <c r="G1787" s="10" t="str">
        <f aca="false">IF($B1787="","",IF($D1787="","未還","已還"))</f>
        <v/>
      </c>
    </row>
    <row r="1788" customFormat="false" ht="15" hidden="false" customHeight="false" outlineLevel="0" collapsed="false">
      <c r="E1788" s="9" t="str">
        <f aca="false">IF($B1788="","",IFERROR(INDEX(書籍!$B$2:$B$2000,MATCH($B1788,書籍!$A$2:$A$2000,0)),"（沒建檔）"))</f>
        <v/>
      </c>
      <c r="F1788" s="9" t="str">
        <f aca="false">IF($A1788="","",IFERROR(INDEX(會員!$B$2:$B$2000,MATCH($A1788,會員!$A$2:$A$2000,0)),"（沒建檔）"))</f>
        <v/>
      </c>
      <c r="G1788" s="10" t="str">
        <f aca="false">IF($B1788="","",IF($D1788="","未還","已還"))</f>
        <v/>
      </c>
    </row>
    <row r="1789" customFormat="false" ht="15" hidden="false" customHeight="false" outlineLevel="0" collapsed="false">
      <c r="E1789" s="9" t="str">
        <f aca="false">IF($B1789="","",IFERROR(INDEX(書籍!$B$2:$B$2000,MATCH($B1789,書籍!$A$2:$A$2000,0)),"（沒建檔）"))</f>
        <v/>
      </c>
      <c r="F1789" s="9" t="str">
        <f aca="false">IF($A1789="","",IFERROR(INDEX(會員!$B$2:$B$2000,MATCH($A1789,會員!$A$2:$A$2000,0)),"（沒建檔）"))</f>
        <v/>
      </c>
      <c r="G1789" s="10" t="str">
        <f aca="false">IF($B1789="","",IF($D1789="","未還","已還"))</f>
        <v/>
      </c>
    </row>
    <row r="1790" customFormat="false" ht="15" hidden="false" customHeight="false" outlineLevel="0" collapsed="false">
      <c r="E1790" s="9" t="str">
        <f aca="false">IF($B1790="","",IFERROR(INDEX(書籍!$B$2:$B$2000,MATCH($B1790,書籍!$A$2:$A$2000,0)),"（沒建檔）"))</f>
        <v/>
      </c>
      <c r="F1790" s="9" t="str">
        <f aca="false">IF($A1790="","",IFERROR(INDEX(會員!$B$2:$B$2000,MATCH($A1790,會員!$A$2:$A$2000,0)),"（沒建檔）"))</f>
        <v/>
      </c>
      <c r="G1790" s="10" t="str">
        <f aca="false">IF($B1790="","",IF($D1790="","未還","已還"))</f>
        <v/>
      </c>
    </row>
    <row r="1791" customFormat="false" ht="15" hidden="false" customHeight="false" outlineLevel="0" collapsed="false">
      <c r="E1791" s="9" t="str">
        <f aca="false">IF($B1791="","",IFERROR(INDEX(書籍!$B$2:$B$2000,MATCH($B1791,書籍!$A$2:$A$2000,0)),"（沒建檔）"))</f>
        <v/>
      </c>
      <c r="F1791" s="9" t="str">
        <f aca="false">IF($A1791="","",IFERROR(INDEX(會員!$B$2:$B$2000,MATCH($A1791,會員!$A$2:$A$2000,0)),"（沒建檔）"))</f>
        <v/>
      </c>
      <c r="G1791" s="10" t="str">
        <f aca="false">IF($B1791="","",IF($D1791="","未還","已還"))</f>
        <v/>
      </c>
    </row>
    <row r="1792" customFormat="false" ht="15" hidden="false" customHeight="false" outlineLevel="0" collapsed="false">
      <c r="E1792" s="9" t="str">
        <f aca="false">IF($B1792="","",IFERROR(INDEX(書籍!$B$2:$B$2000,MATCH($B1792,書籍!$A$2:$A$2000,0)),"（沒建檔）"))</f>
        <v/>
      </c>
      <c r="F1792" s="9" t="str">
        <f aca="false">IF($A1792="","",IFERROR(INDEX(會員!$B$2:$B$2000,MATCH($A1792,會員!$A$2:$A$2000,0)),"（沒建檔）"))</f>
        <v/>
      </c>
      <c r="G1792" s="10" t="str">
        <f aca="false">IF($B1792="","",IF($D1792="","未還","已還"))</f>
        <v/>
      </c>
    </row>
    <row r="1793" customFormat="false" ht="15" hidden="false" customHeight="false" outlineLevel="0" collapsed="false">
      <c r="E1793" s="9" t="str">
        <f aca="false">IF($B1793="","",IFERROR(INDEX(書籍!$B$2:$B$2000,MATCH($B1793,書籍!$A$2:$A$2000,0)),"（沒建檔）"))</f>
        <v/>
      </c>
      <c r="F1793" s="9" t="str">
        <f aca="false">IF($A1793="","",IFERROR(INDEX(會員!$B$2:$B$2000,MATCH($A1793,會員!$A$2:$A$2000,0)),"（沒建檔）"))</f>
        <v/>
      </c>
      <c r="G1793" s="10" t="str">
        <f aca="false">IF($B1793="","",IF($D1793="","未還","已還"))</f>
        <v/>
      </c>
    </row>
    <row r="1794" customFormat="false" ht="15" hidden="false" customHeight="false" outlineLevel="0" collapsed="false">
      <c r="E1794" s="9" t="str">
        <f aca="false">IF($B1794="","",IFERROR(INDEX(書籍!$B$2:$B$2000,MATCH($B1794,書籍!$A$2:$A$2000,0)),"（沒建檔）"))</f>
        <v/>
      </c>
      <c r="F1794" s="9" t="str">
        <f aca="false">IF($A1794="","",IFERROR(INDEX(會員!$B$2:$B$2000,MATCH($A1794,會員!$A$2:$A$2000,0)),"（沒建檔）"))</f>
        <v/>
      </c>
      <c r="G1794" s="10" t="str">
        <f aca="false">IF($B1794="","",IF($D1794="","未還","已還"))</f>
        <v/>
      </c>
    </row>
    <row r="1795" customFormat="false" ht="15" hidden="false" customHeight="false" outlineLevel="0" collapsed="false">
      <c r="E1795" s="9" t="str">
        <f aca="false">IF($B1795="","",IFERROR(INDEX(書籍!$B$2:$B$2000,MATCH($B1795,書籍!$A$2:$A$2000,0)),"（沒建檔）"))</f>
        <v/>
      </c>
      <c r="F1795" s="9" t="str">
        <f aca="false">IF($A1795="","",IFERROR(INDEX(會員!$B$2:$B$2000,MATCH($A1795,會員!$A$2:$A$2000,0)),"（沒建檔）"))</f>
        <v/>
      </c>
      <c r="G1795" s="10" t="str">
        <f aca="false">IF($B1795="","",IF($D1795="","未還","已還"))</f>
        <v/>
      </c>
    </row>
    <row r="1796" customFormat="false" ht="15" hidden="false" customHeight="false" outlineLevel="0" collapsed="false">
      <c r="E1796" s="9" t="str">
        <f aca="false">IF($B1796="","",IFERROR(INDEX(書籍!$B$2:$B$2000,MATCH($B1796,書籍!$A$2:$A$2000,0)),"（沒建檔）"))</f>
        <v/>
      </c>
      <c r="F1796" s="9" t="str">
        <f aca="false">IF($A1796="","",IFERROR(INDEX(會員!$B$2:$B$2000,MATCH($A1796,會員!$A$2:$A$2000,0)),"（沒建檔）"))</f>
        <v/>
      </c>
      <c r="G1796" s="10" t="str">
        <f aca="false">IF($B1796="","",IF($D1796="","未還","已還"))</f>
        <v/>
      </c>
    </row>
    <row r="1797" customFormat="false" ht="15" hidden="false" customHeight="false" outlineLevel="0" collapsed="false">
      <c r="E1797" s="9" t="str">
        <f aca="false">IF($B1797="","",IFERROR(INDEX(書籍!$B$2:$B$2000,MATCH($B1797,書籍!$A$2:$A$2000,0)),"（沒建檔）"))</f>
        <v/>
      </c>
      <c r="F1797" s="9" t="str">
        <f aca="false">IF($A1797="","",IFERROR(INDEX(會員!$B$2:$B$2000,MATCH($A1797,會員!$A$2:$A$2000,0)),"（沒建檔）"))</f>
        <v/>
      </c>
      <c r="G1797" s="10" t="str">
        <f aca="false">IF($B1797="","",IF($D1797="","未還","已還"))</f>
        <v/>
      </c>
    </row>
    <row r="1798" customFormat="false" ht="15" hidden="false" customHeight="false" outlineLevel="0" collapsed="false">
      <c r="E1798" s="9" t="str">
        <f aca="false">IF($B1798="","",IFERROR(INDEX(書籍!$B$2:$B$2000,MATCH($B1798,書籍!$A$2:$A$2000,0)),"（沒建檔）"))</f>
        <v/>
      </c>
      <c r="F1798" s="9" t="str">
        <f aca="false">IF($A1798="","",IFERROR(INDEX(會員!$B$2:$B$2000,MATCH($A1798,會員!$A$2:$A$2000,0)),"（沒建檔）"))</f>
        <v/>
      </c>
      <c r="G1798" s="10" t="str">
        <f aca="false">IF($B1798="","",IF($D1798="","未還","已還"))</f>
        <v/>
      </c>
    </row>
    <row r="1799" customFormat="false" ht="15" hidden="false" customHeight="false" outlineLevel="0" collapsed="false">
      <c r="E1799" s="9" t="str">
        <f aca="false">IF($B1799="","",IFERROR(INDEX(書籍!$B$2:$B$2000,MATCH($B1799,書籍!$A$2:$A$2000,0)),"（沒建檔）"))</f>
        <v/>
      </c>
      <c r="F1799" s="9" t="str">
        <f aca="false">IF($A1799="","",IFERROR(INDEX(會員!$B$2:$B$2000,MATCH($A1799,會員!$A$2:$A$2000,0)),"（沒建檔）"))</f>
        <v/>
      </c>
      <c r="G1799" s="10" t="str">
        <f aca="false">IF($B1799="","",IF($D1799="","未還","已還"))</f>
        <v/>
      </c>
    </row>
    <row r="1800" customFormat="false" ht="15" hidden="false" customHeight="false" outlineLevel="0" collapsed="false">
      <c r="E1800" s="9" t="str">
        <f aca="false">IF($B1800="","",IFERROR(INDEX(書籍!$B$2:$B$2000,MATCH($B1800,書籍!$A$2:$A$2000,0)),"（沒建檔）"))</f>
        <v/>
      </c>
      <c r="F1800" s="9" t="str">
        <f aca="false">IF($A1800="","",IFERROR(INDEX(會員!$B$2:$B$2000,MATCH($A1800,會員!$A$2:$A$2000,0)),"（沒建檔）"))</f>
        <v/>
      </c>
      <c r="G1800" s="10" t="str">
        <f aca="false">IF($B1800="","",IF($D1800="","未還","已還"))</f>
        <v/>
      </c>
    </row>
    <row r="1801" customFormat="false" ht="15" hidden="false" customHeight="false" outlineLevel="0" collapsed="false">
      <c r="E1801" s="9" t="str">
        <f aca="false">IF($B1801="","",IFERROR(INDEX(書籍!$B$2:$B$2000,MATCH($B1801,書籍!$A$2:$A$2000,0)),"（沒建檔）"))</f>
        <v/>
      </c>
      <c r="F1801" s="9" t="str">
        <f aca="false">IF($A1801="","",IFERROR(INDEX(會員!$B$2:$B$2000,MATCH($A1801,會員!$A$2:$A$2000,0)),"（沒建檔）"))</f>
        <v/>
      </c>
      <c r="G1801" s="10" t="str">
        <f aca="false">IF($B1801="","",IF($D1801="","未還","已還"))</f>
        <v/>
      </c>
    </row>
    <row r="1802" customFormat="false" ht="15" hidden="false" customHeight="false" outlineLevel="0" collapsed="false">
      <c r="E1802" s="9" t="str">
        <f aca="false">IF($B1802="","",IFERROR(INDEX(書籍!$B$2:$B$2000,MATCH($B1802,書籍!$A$2:$A$2000,0)),"（沒建檔）"))</f>
        <v/>
      </c>
      <c r="F1802" s="9" t="str">
        <f aca="false">IF($A1802="","",IFERROR(INDEX(會員!$B$2:$B$2000,MATCH($A1802,會員!$A$2:$A$2000,0)),"（沒建檔）"))</f>
        <v/>
      </c>
      <c r="G1802" s="10" t="str">
        <f aca="false">IF($B1802="","",IF($D1802="","未還","已還"))</f>
        <v/>
      </c>
    </row>
    <row r="1803" customFormat="false" ht="15" hidden="false" customHeight="false" outlineLevel="0" collapsed="false">
      <c r="E1803" s="9" t="str">
        <f aca="false">IF($B1803="","",IFERROR(INDEX(書籍!$B$2:$B$2000,MATCH($B1803,書籍!$A$2:$A$2000,0)),"（沒建檔）"))</f>
        <v/>
      </c>
      <c r="F1803" s="9" t="str">
        <f aca="false">IF($A1803="","",IFERROR(INDEX(會員!$B$2:$B$2000,MATCH($A1803,會員!$A$2:$A$2000,0)),"（沒建檔）"))</f>
        <v/>
      </c>
      <c r="G1803" s="10" t="str">
        <f aca="false">IF($B1803="","",IF($D1803="","未還","已還"))</f>
        <v/>
      </c>
    </row>
    <row r="1804" customFormat="false" ht="15" hidden="false" customHeight="false" outlineLevel="0" collapsed="false">
      <c r="E1804" s="9" t="str">
        <f aca="false">IF($B1804="","",IFERROR(INDEX(書籍!$B$2:$B$2000,MATCH($B1804,書籍!$A$2:$A$2000,0)),"（沒建檔）"))</f>
        <v/>
      </c>
      <c r="F1804" s="9" t="str">
        <f aca="false">IF($A1804="","",IFERROR(INDEX(會員!$B$2:$B$2000,MATCH($A1804,會員!$A$2:$A$2000,0)),"（沒建檔）"))</f>
        <v/>
      </c>
      <c r="G1804" s="10" t="str">
        <f aca="false">IF($B1804="","",IF($D1804="","未還","已還"))</f>
        <v/>
      </c>
    </row>
    <row r="1805" customFormat="false" ht="15" hidden="false" customHeight="false" outlineLevel="0" collapsed="false">
      <c r="E1805" s="9" t="str">
        <f aca="false">IF($B1805="","",IFERROR(INDEX(書籍!$B$2:$B$2000,MATCH($B1805,書籍!$A$2:$A$2000,0)),"（沒建檔）"))</f>
        <v/>
      </c>
      <c r="F1805" s="9" t="str">
        <f aca="false">IF($A1805="","",IFERROR(INDEX(會員!$B$2:$B$2000,MATCH($A1805,會員!$A$2:$A$2000,0)),"（沒建檔）"))</f>
        <v/>
      </c>
      <c r="G1805" s="10" t="str">
        <f aca="false">IF($B1805="","",IF($D1805="","未還","已還"))</f>
        <v/>
      </c>
    </row>
    <row r="1806" customFormat="false" ht="15" hidden="false" customHeight="false" outlineLevel="0" collapsed="false">
      <c r="E1806" s="9" t="str">
        <f aca="false">IF($B1806="","",IFERROR(INDEX(書籍!$B$2:$B$2000,MATCH($B1806,書籍!$A$2:$A$2000,0)),"（沒建檔）"))</f>
        <v/>
      </c>
      <c r="F1806" s="9" t="str">
        <f aca="false">IF($A1806="","",IFERROR(INDEX(會員!$B$2:$B$2000,MATCH($A1806,會員!$A$2:$A$2000,0)),"（沒建檔）"))</f>
        <v/>
      </c>
      <c r="G1806" s="10" t="str">
        <f aca="false">IF($B1806="","",IF($D1806="","未還","已還"))</f>
        <v/>
      </c>
    </row>
    <row r="1807" customFormat="false" ht="15" hidden="false" customHeight="false" outlineLevel="0" collapsed="false">
      <c r="E1807" s="9" t="str">
        <f aca="false">IF($B1807="","",IFERROR(INDEX(書籍!$B$2:$B$2000,MATCH($B1807,書籍!$A$2:$A$2000,0)),"（沒建檔）"))</f>
        <v/>
      </c>
      <c r="F1807" s="9" t="str">
        <f aca="false">IF($A1807="","",IFERROR(INDEX(會員!$B$2:$B$2000,MATCH($A1807,會員!$A$2:$A$2000,0)),"（沒建檔）"))</f>
        <v/>
      </c>
      <c r="G1807" s="10" t="str">
        <f aca="false">IF($B1807="","",IF($D1807="","未還","已還"))</f>
        <v/>
      </c>
    </row>
    <row r="1808" customFormat="false" ht="15" hidden="false" customHeight="false" outlineLevel="0" collapsed="false">
      <c r="E1808" s="9" t="str">
        <f aca="false">IF($B1808="","",IFERROR(INDEX(書籍!$B$2:$B$2000,MATCH($B1808,書籍!$A$2:$A$2000,0)),"（沒建檔）"))</f>
        <v/>
      </c>
      <c r="F1808" s="9" t="str">
        <f aca="false">IF($A1808="","",IFERROR(INDEX(會員!$B$2:$B$2000,MATCH($A1808,會員!$A$2:$A$2000,0)),"（沒建檔）"))</f>
        <v/>
      </c>
      <c r="G1808" s="10" t="str">
        <f aca="false">IF($B1808="","",IF($D1808="","未還","已還"))</f>
        <v/>
      </c>
    </row>
    <row r="1809" customFormat="false" ht="15" hidden="false" customHeight="false" outlineLevel="0" collapsed="false">
      <c r="E1809" s="9" t="str">
        <f aca="false">IF($B1809="","",IFERROR(INDEX(書籍!$B$2:$B$2000,MATCH($B1809,書籍!$A$2:$A$2000,0)),"（沒建檔）"))</f>
        <v/>
      </c>
      <c r="F1809" s="9" t="str">
        <f aca="false">IF($A1809="","",IFERROR(INDEX(會員!$B$2:$B$2000,MATCH($A1809,會員!$A$2:$A$2000,0)),"（沒建檔）"))</f>
        <v/>
      </c>
      <c r="G1809" s="10" t="str">
        <f aca="false">IF($B1809="","",IF($D1809="","未還","已還"))</f>
        <v/>
      </c>
    </row>
    <row r="1810" customFormat="false" ht="15" hidden="false" customHeight="false" outlineLevel="0" collapsed="false">
      <c r="E1810" s="9" t="str">
        <f aca="false">IF($B1810="","",IFERROR(INDEX(書籍!$B$2:$B$2000,MATCH($B1810,書籍!$A$2:$A$2000,0)),"（沒建檔）"))</f>
        <v/>
      </c>
      <c r="F1810" s="9" t="str">
        <f aca="false">IF($A1810="","",IFERROR(INDEX(會員!$B$2:$B$2000,MATCH($A1810,會員!$A$2:$A$2000,0)),"（沒建檔）"))</f>
        <v/>
      </c>
      <c r="G1810" s="10" t="str">
        <f aca="false">IF($B1810="","",IF($D1810="","未還","已還"))</f>
        <v/>
      </c>
    </row>
    <row r="1811" customFormat="false" ht="15" hidden="false" customHeight="false" outlineLevel="0" collapsed="false">
      <c r="E1811" s="9" t="str">
        <f aca="false">IF($B1811="","",IFERROR(INDEX(書籍!$B$2:$B$2000,MATCH($B1811,書籍!$A$2:$A$2000,0)),"（沒建檔）"))</f>
        <v/>
      </c>
      <c r="F1811" s="9" t="str">
        <f aca="false">IF($A1811="","",IFERROR(INDEX(會員!$B$2:$B$2000,MATCH($A1811,會員!$A$2:$A$2000,0)),"（沒建檔）"))</f>
        <v/>
      </c>
      <c r="G1811" s="10" t="str">
        <f aca="false">IF($B1811="","",IF($D1811="","未還","已還"))</f>
        <v/>
      </c>
    </row>
    <row r="1812" customFormat="false" ht="15" hidden="false" customHeight="false" outlineLevel="0" collapsed="false">
      <c r="E1812" s="9" t="str">
        <f aca="false">IF($B1812="","",IFERROR(INDEX(書籍!$B$2:$B$2000,MATCH($B1812,書籍!$A$2:$A$2000,0)),"（沒建檔）"))</f>
        <v/>
      </c>
      <c r="F1812" s="9" t="str">
        <f aca="false">IF($A1812="","",IFERROR(INDEX(會員!$B$2:$B$2000,MATCH($A1812,會員!$A$2:$A$2000,0)),"（沒建檔）"))</f>
        <v/>
      </c>
      <c r="G1812" s="10" t="str">
        <f aca="false">IF($B1812="","",IF($D1812="","未還","已還"))</f>
        <v/>
      </c>
    </row>
    <row r="1813" customFormat="false" ht="15" hidden="false" customHeight="false" outlineLevel="0" collapsed="false">
      <c r="E1813" s="9" t="str">
        <f aca="false">IF($B1813="","",IFERROR(INDEX(書籍!$B$2:$B$2000,MATCH($B1813,書籍!$A$2:$A$2000,0)),"（沒建檔）"))</f>
        <v/>
      </c>
      <c r="F1813" s="9" t="str">
        <f aca="false">IF($A1813="","",IFERROR(INDEX(會員!$B$2:$B$2000,MATCH($A1813,會員!$A$2:$A$2000,0)),"（沒建檔）"))</f>
        <v/>
      </c>
      <c r="G1813" s="10" t="str">
        <f aca="false">IF($B1813="","",IF($D1813="","未還","已還"))</f>
        <v/>
      </c>
    </row>
    <row r="1814" customFormat="false" ht="15" hidden="false" customHeight="false" outlineLevel="0" collapsed="false">
      <c r="E1814" s="9" t="str">
        <f aca="false">IF($B1814="","",IFERROR(INDEX(書籍!$B$2:$B$2000,MATCH($B1814,書籍!$A$2:$A$2000,0)),"（沒建檔）"))</f>
        <v/>
      </c>
      <c r="F1814" s="9" t="str">
        <f aca="false">IF($A1814="","",IFERROR(INDEX(會員!$B$2:$B$2000,MATCH($A1814,會員!$A$2:$A$2000,0)),"（沒建檔）"))</f>
        <v/>
      </c>
      <c r="G1814" s="10" t="str">
        <f aca="false">IF($B1814="","",IF($D1814="","未還","已還"))</f>
        <v/>
      </c>
    </row>
    <row r="1815" customFormat="false" ht="15" hidden="false" customHeight="false" outlineLevel="0" collapsed="false">
      <c r="E1815" s="9" t="str">
        <f aca="false">IF($B1815="","",IFERROR(INDEX(書籍!$B$2:$B$2000,MATCH($B1815,書籍!$A$2:$A$2000,0)),"（沒建檔）"))</f>
        <v/>
      </c>
      <c r="F1815" s="9" t="str">
        <f aca="false">IF($A1815="","",IFERROR(INDEX(會員!$B$2:$B$2000,MATCH($A1815,會員!$A$2:$A$2000,0)),"（沒建檔）"))</f>
        <v/>
      </c>
      <c r="G1815" s="10" t="str">
        <f aca="false">IF($B1815="","",IF($D1815="","未還","已還"))</f>
        <v/>
      </c>
    </row>
    <row r="1816" customFormat="false" ht="15" hidden="false" customHeight="false" outlineLevel="0" collapsed="false">
      <c r="E1816" s="9" t="str">
        <f aca="false">IF($B1816="","",IFERROR(INDEX(書籍!$B$2:$B$2000,MATCH($B1816,書籍!$A$2:$A$2000,0)),"（沒建檔）"))</f>
        <v/>
      </c>
      <c r="F1816" s="9" t="str">
        <f aca="false">IF($A1816="","",IFERROR(INDEX(會員!$B$2:$B$2000,MATCH($A1816,會員!$A$2:$A$2000,0)),"（沒建檔）"))</f>
        <v/>
      </c>
      <c r="G1816" s="10" t="str">
        <f aca="false">IF($B1816="","",IF($D1816="","未還","已還"))</f>
        <v/>
      </c>
    </row>
    <row r="1817" customFormat="false" ht="15" hidden="false" customHeight="false" outlineLevel="0" collapsed="false">
      <c r="E1817" s="9" t="str">
        <f aca="false">IF($B1817="","",IFERROR(INDEX(書籍!$B$2:$B$2000,MATCH($B1817,書籍!$A$2:$A$2000,0)),"（沒建檔）"))</f>
        <v/>
      </c>
      <c r="F1817" s="9" t="str">
        <f aca="false">IF($A1817="","",IFERROR(INDEX(會員!$B$2:$B$2000,MATCH($A1817,會員!$A$2:$A$2000,0)),"（沒建檔）"))</f>
        <v/>
      </c>
      <c r="G1817" s="10" t="str">
        <f aca="false">IF($B1817="","",IF($D1817="","未還","已還"))</f>
        <v/>
      </c>
    </row>
    <row r="1818" customFormat="false" ht="15" hidden="false" customHeight="false" outlineLevel="0" collapsed="false">
      <c r="E1818" s="9" t="str">
        <f aca="false">IF($B1818="","",IFERROR(INDEX(書籍!$B$2:$B$2000,MATCH($B1818,書籍!$A$2:$A$2000,0)),"（沒建檔）"))</f>
        <v/>
      </c>
      <c r="F1818" s="9" t="str">
        <f aca="false">IF($A1818="","",IFERROR(INDEX(會員!$B$2:$B$2000,MATCH($A1818,會員!$A$2:$A$2000,0)),"（沒建檔）"))</f>
        <v/>
      </c>
      <c r="G1818" s="10" t="str">
        <f aca="false">IF($B1818="","",IF($D1818="","未還","已還"))</f>
        <v/>
      </c>
    </row>
    <row r="1819" customFormat="false" ht="15" hidden="false" customHeight="false" outlineLevel="0" collapsed="false">
      <c r="E1819" s="9" t="str">
        <f aca="false">IF($B1819="","",IFERROR(INDEX(書籍!$B$2:$B$2000,MATCH($B1819,書籍!$A$2:$A$2000,0)),"（沒建檔）"))</f>
        <v/>
      </c>
      <c r="F1819" s="9" t="str">
        <f aca="false">IF($A1819="","",IFERROR(INDEX(會員!$B$2:$B$2000,MATCH($A1819,會員!$A$2:$A$2000,0)),"（沒建檔）"))</f>
        <v/>
      </c>
      <c r="G1819" s="10" t="str">
        <f aca="false">IF($B1819="","",IF($D1819="","未還","已還"))</f>
        <v/>
      </c>
    </row>
    <row r="1820" customFormat="false" ht="15" hidden="false" customHeight="false" outlineLevel="0" collapsed="false">
      <c r="E1820" s="9" t="str">
        <f aca="false">IF($B1820="","",IFERROR(INDEX(書籍!$B$2:$B$2000,MATCH($B1820,書籍!$A$2:$A$2000,0)),"（沒建檔）"))</f>
        <v/>
      </c>
      <c r="F1820" s="9" t="str">
        <f aca="false">IF($A1820="","",IFERROR(INDEX(會員!$B$2:$B$2000,MATCH($A1820,會員!$A$2:$A$2000,0)),"（沒建檔）"))</f>
        <v/>
      </c>
      <c r="G1820" s="10" t="str">
        <f aca="false">IF($B1820="","",IF($D1820="","未還","已還"))</f>
        <v/>
      </c>
    </row>
    <row r="1821" customFormat="false" ht="15" hidden="false" customHeight="false" outlineLevel="0" collapsed="false">
      <c r="E1821" s="9" t="str">
        <f aca="false">IF($B1821="","",IFERROR(INDEX(書籍!$B$2:$B$2000,MATCH($B1821,書籍!$A$2:$A$2000,0)),"（沒建檔）"))</f>
        <v/>
      </c>
      <c r="F1821" s="9" t="str">
        <f aca="false">IF($A1821="","",IFERROR(INDEX(會員!$B$2:$B$2000,MATCH($A1821,會員!$A$2:$A$2000,0)),"（沒建檔）"))</f>
        <v/>
      </c>
      <c r="G1821" s="10" t="str">
        <f aca="false">IF($B1821="","",IF($D1821="","未還","已還"))</f>
        <v/>
      </c>
    </row>
    <row r="1822" customFormat="false" ht="15" hidden="false" customHeight="false" outlineLevel="0" collapsed="false">
      <c r="E1822" s="9" t="str">
        <f aca="false">IF($B1822="","",IFERROR(INDEX(書籍!$B$2:$B$2000,MATCH($B1822,書籍!$A$2:$A$2000,0)),"（沒建檔）"))</f>
        <v/>
      </c>
      <c r="F1822" s="9" t="str">
        <f aca="false">IF($A1822="","",IFERROR(INDEX(會員!$B$2:$B$2000,MATCH($A1822,會員!$A$2:$A$2000,0)),"（沒建檔）"))</f>
        <v/>
      </c>
      <c r="G1822" s="10" t="str">
        <f aca="false">IF($B1822="","",IF($D1822="","未還","已還"))</f>
        <v/>
      </c>
    </row>
    <row r="1823" customFormat="false" ht="15" hidden="false" customHeight="false" outlineLevel="0" collapsed="false">
      <c r="E1823" s="9" t="str">
        <f aca="false">IF($B1823="","",IFERROR(INDEX(書籍!$B$2:$B$2000,MATCH($B1823,書籍!$A$2:$A$2000,0)),"（沒建檔）"))</f>
        <v/>
      </c>
      <c r="F1823" s="9" t="str">
        <f aca="false">IF($A1823="","",IFERROR(INDEX(會員!$B$2:$B$2000,MATCH($A1823,會員!$A$2:$A$2000,0)),"（沒建檔）"))</f>
        <v/>
      </c>
      <c r="G1823" s="10" t="str">
        <f aca="false">IF($B1823="","",IF($D1823="","未還","已還"))</f>
        <v/>
      </c>
    </row>
    <row r="1824" customFormat="false" ht="15" hidden="false" customHeight="false" outlineLevel="0" collapsed="false">
      <c r="E1824" s="9" t="str">
        <f aca="false">IF($B1824="","",IFERROR(INDEX(書籍!$B$2:$B$2000,MATCH($B1824,書籍!$A$2:$A$2000,0)),"（沒建檔）"))</f>
        <v/>
      </c>
      <c r="F1824" s="9" t="str">
        <f aca="false">IF($A1824="","",IFERROR(INDEX(會員!$B$2:$B$2000,MATCH($A1824,會員!$A$2:$A$2000,0)),"（沒建檔）"))</f>
        <v/>
      </c>
      <c r="G1824" s="10" t="str">
        <f aca="false">IF($B1824="","",IF($D1824="","未還","已還"))</f>
        <v/>
      </c>
    </row>
    <row r="1825" customFormat="false" ht="15" hidden="false" customHeight="false" outlineLevel="0" collapsed="false">
      <c r="E1825" s="9" t="str">
        <f aca="false">IF($B1825="","",IFERROR(INDEX(書籍!$B$2:$B$2000,MATCH($B1825,書籍!$A$2:$A$2000,0)),"（沒建檔）"))</f>
        <v/>
      </c>
      <c r="F1825" s="9" t="str">
        <f aca="false">IF($A1825="","",IFERROR(INDEX(會員!$B$2:$B$2000,MATCH($A1825,會員!$A$2:$A$2000,0)),"（沒建檔）"))</f>
        <v/>
      </c>
      <c r="G1825" s="10" t="str">
        <f aca="false">IF($B1825="","",IF($D1825="","未還","已還"))</f>
        <v/>
      </c>
    </row>
    <row r="1826" customFormat="false" ht="15" hidden="false" customHeight="false" outlineLevel="0" collapsed="false">
      <c r="E1826" s="9" t="str">
        <f aca="false">IF($B1826="","",IFERROR(INDEX(書籍!$B$2:$B$2000,MATCH($B1826,書籍!$A$2:$A$2000,0)),"（沒建檔）"))</f>
        <v/>
      </c>
      <c r="F1826" s="9" t="str">
        <f aca="false">IF($A1826="","",IFERROR(INDEX(會員!$B$2:$B$2000,MATCH($A1826,會員!$A$2:$A$2000,0)),"（沒建檔）"))</f>
        <v/>
      </c>
      <c r="G1826" s="10" t="str">
        <f aca="false">IF($B1826="","",IF($D1826="","未還","已還"))</f>
        <v/>
      </c>
    </row>
    <row r="1827" customFormat="false" ht="15" hidden="false" customHeight="false" outlineLevel="0" collapsed="false">
      <c r="E1827" s="9" t="str">
        <f aca="false">IF($B1827="","",IFERROR(INDEX(書籍!$B$2:$B$2000,MATCH($B1827,書籍!$A$2:$A$2000,0)),"（沒建檔）"))</f>
        <v/>
      </c>
      <c r="F1827" s="9" t="str">
        <f aca="false">IF($A1827="","",IFERROR(INDEX(會員!$B$2:$B$2000,MATCH($A1827,會員!$A$2:$A$2000,0)),"（沒建檔）"))</f>
        <v/>
      </c>
      <c r="G1827" s="10" t="str">
        <f aca="false">IF($B1827="","",IF($D1827="","未還","已還"))</f>
        <v/>
      </c>
    </row>
    <row r="1828" customFormat="false" ht="15" hidden="false" customHeight="false" outlineLevel="0" collapsed="false">
      <c r="E1828" s="9" t="str">
        <f aca="false">IF($B1828="","",IFERROR(INDEX(書籍!$B$2:$B$2000,MATCH($B1828,書籍!$A$2:$A$2000,0)),"（沒建檔）"))</f>
        <v/>
      </c>
      <c r="F1828" s="9" t="str">
        <f aca="false">IF($A1828="","",IFERROR(INDEX(會員!$B$2:$B$2000,MATCH($A1828,會員!$A$2:$A$2000,0)),"（沒建檔）"))</f>
        <v/>
      </c>
      <c r="G1828" s="10" t="str">
        <f aca="false">IF($B1828="","",IF($D1828="","未還","已還"))</f>
        <v/>
      </c>
    </row>
    <row r="1829" customFormat="false" ht="15" hidden="false" customHeight="false" outlineLevel="0" collapsed="false">
      <c r="E1829" s="9" t="str">
        <f aca="false">IF($B1829="","",IFERROR(INDEX(書籍!$B$2:$B$2000,MATCH($B1829,書籍!$A$2:$A$2000,0)),"（沒建檔）"))</f>
        <v/>
      </c>
      <c r="F1829" s="9" t="str">
        <f aca="false">IF($A1829="","",IFERROR(INDEX(會員!$B$2:$B$2000,MATCH($A1829,會員!$A$2:$A$2000,0)),"（沒建檔）"))</f>
        <v/>
      </c>
      <c r="G1829" s="10" t="str">
        <f aca="false">IF($B1829="","",IF($D1829="","未還","已還"))</f>
        <v/>
      </c>
    </row>
    <row r="1830" customFormat="false" ht="15" hidden="false" customHeight="false" outlineLevel="0" collapsed="false">
      <c r="E1830" s="9" t="str">
        <f aca="false">IF($B1830="","",IFERROR(INDEX(書籍!$B$2:$B$2000,MATCH($B1830,書籍!$A$2:$A$2000,0)),"（沒建檔）"))</f>
        <v/>
      </c>
      <c r="F1830" s="9" t="str">
        <f aca="false">IF($A1830="","",IFERROR(INDEX(會員!$B$2:$B$2000,MATCH($A1830,會員!$A$2:$A$2000,0)),"（沒建檔）"))</f>
        <v/>
      </c>
      <c r="G1830" s="10" t="str">
        <f aca="false">IF($B1830="","",IF($D1830="","未還","已還"))</f>
        <v/>
      </c>
    </row>
    <row r="1831" customFormat="false" ht="15" hidden="false" customHeight="false" outlineLevel="0" collapsed="false">
      <c r="E1831" s="9" t="str">
        <f aca="false">IF($B1831="","",IFERROR(INDEX(書籍!$B$2:$B$2000,MATCH($B1831,書籍!$A$2:$A$2000,0)),"（沒建檔）"))</f>
        <v/>
      </c>
      <c r="F1831" s="9" t="str">
        <f aca="false">IF($A1831="","",IFERROR(INDEX(會員!$B$2:$B$2000,MATCH($A1831,會員!$A$2:$A$2000,0)),"（沒建檔）"))</f>
        <v/>
      </c>
      <c r="G1831" s="10" t="str">
        <f aca="false">IF($B1831="","",IF($D1831="","未還","已還"))</f>
        <v/>
      </c>
    </row>
    <row r="1832" customFormat="false" ht="15" hidden="false" customHeight="false" outlineLevel="0" collapsed="false">
      <c r="E1832" s="9" t="str">
        <f aca="false">IF($B1832="","",IFERROR(INDEX(書籍!$B$2:$B$2000,MATCH($B1832,書籍!$A$2:$A$2000,0)),"（沒建檔）"))</f>
        <v/>
      </c>
      <c r="F1832" s="9" t="str">
        <f aca="false">IF($A1832="","",IFERROR(INDEX(會員!$B$2:$B$2000,MATCH($A1832,會員!$A$2:$A$2000,0)),"（沒建檔）"))</f>
        <v/>
      </c>
      <c r="G1832" s="10" t="str">
        <f aca="false">IF($B1832="","",IF($D1832="","未還","已還"))</f>
        <v/>
      </c>
    </row>
    <row r="1833" customFormat="false" ht="15" hidden="false" customHeight="false" outlineLevel="0" collapsed="false">
      <c r="E1833" s="9" t="str">
        <f aca="false">IF($B1833="","",IFERROR(INDEX(書籍!$B$2:$B$2000,MATCH($B1833,書籍!$A$2:$A$2000,0)),"（沒建檔）"))</f>
        <v/>
      </c>
      <c r="F1833" s="9" t="str">
        <f aca="false">IF($A1833="","",IFERROR(INDEX(會員!$B$2:$B$2000,MATCH($A1833,會員!$A$2:$A$2000,0)),"（沒建檔）"))</f>
        <v/>
      </c>
      <c r="G1833" s="10" t="str">
        <f aca="false">IF($B1833="","",IF($D1833="","未還","已還"))</f>
        <v/>
      </c>
    </row>
    <row r="1834" customFormat="false" ht="15" hidden="false" customHeight="false" outlineLevel="0" collapsed="false">
      <c r="E1834" s="9" t="str">
        <f aca="false">IF($B1834="","",IFERROR(INDEX(書籍!$B$2:$B$2000,MATCH($B1834,書籍!$A$2:$A$2000,0)),"（沒建檔）"))</f>
        <v/>
      </c>
      <c r="F1834" s="9" t="str">
        <f aca="false">IF($A1834="","",IFERROR(INDEX(會員!$B$2:$B$2000,MATCH($A1834,會員!$A$2:$A$2000,0)),"（沒建檔）"))</f>
        <v/>
      </c>
      <c r="G1834" s="10" t="str">
        <f aca="false">IF($B1834="","",IF($D1834="","未還","已還"))</f>
        <v/>
      </c>
    </row>
    <row r="1835" customFormat="false" ht="15" hidden="false" customHeight="false" outlineLevel="0" collapsed="false">
      <c r="E1835" s="9" t="str">
        <f aca="false">IF($B1835="","",IFERROR(INDEX(書籍!$B$2:$B$2000,MATCH($B1835,書籍!$A$2:$A$2000,0)),"（沒建檔）"))</f>
        <v/>
      </c>
      <c r="F1835" s="9" t="str">
        <f aca="false">IF($A1835="","",IFERROR(INDEX(會員!$B$2:$B$2000,MATCH($A1835,會員!$A$2:$A$2000,0)),"（沒建檔）"))</f>
        <v/>
      </c>
      <c r="G1835" s="10" t="str">
        <f aca="false">IF($B1835="","",IF($D1835="","未還","已還"))</f>
        <v/>
      </c>
    </row>
    <row r="1836" customFormat="false" ht="15" hidden="false" customHeight="false" outlineLevel="0" collapsed="false">
      <c r="E1836" s="9" t="str">
        <f aca="false">IF($B1836="","",IFERROR(INDEX(書籍!$B$2:$B$2000,MATCH($B1836,書籍!$A$2:$A$2000,0)),"（沒建檔）"))</f>
        <v/>
      </c>
      <c r="F1836" s="9" t="str">
        <f aca="false">IF($A1836="","",IFERROR(INDEX(會員!$B$2:$B$2000,MATCH($A1836,會員!$A$2:$A$2000,0)),"（沒建檔）"))</f>
        <v/>
      </c>
      <c r="G1836" s="10" t="str">
        <f aca="false">IF($B1836="","",IF($D1836="","未還","已還"))</f>
        <v/>
      </c>
    </row>
    <row r="1837" customFormat="false" ht="15" hidden="false" customHeight="false" outlineLevel="0" collapsed="false">
      <c r="E1837" s="9" t="str">
        <f aca="false">IF($B1837="","",IFERROR(INDEX(書籍!$B$2:$B$2000,MATCH($B1837,書籍!$A$2:$A$2000,0)),"（沒建檔）"))</f>
        <v/>
      </c>
      <c r="F1837" s="9" t="str">
        <f aca="false">IF($A1837="","",IFERROR(INDEX(會員!$B$2:$B$2000,MATCH($A1837,會員!$A$2:$A$2000,0)),"（沒建檔）"))</f>
        <v/>
      </c>
      <c r="G1837" s="10" t="str">
        <f aca="false">IF($B1837="","",IF($D1837="","未還","已還"))</f>
        <v/>
      </c>
    </row>
    <row r="1838" customFormat="false" ht="15" hidden="false" customHeight="false" outlineLevel="0" collapsed="false">
      <c r="E1838" s="9" t="str">
        <f aca="false">IF($B1838="","",IFERROR(INDEX(書籍!$B$2:$B$2000,MATCH($B1838,書籍!$A$2:$A$2000,0)),"（沒建檔）"))</f>
        <v/>
      </c>
      <c r="F1838" s="9" t="str">
        <f aca="false">IF($A1838="","",IFERROR(INDEX(會員!$B$2:$B$2000,MATCH($A1838,會員!$A$2:$A$2000,0)),"（沒建檔）"))</f>
        <v/>
      </c>
      <c r="G1838" s="10" t="str">
        <f aca="false">IF($B1838="","",IF($D1838="","未還","已還"))</f>
        <v/>
      </c>
    </row>
    <row r="1839" customFormat="false" ht="15" hidden="false" customHeight="false" outlineLevel="0" collapsed="false">
      <c r="E1839" s="9" t="str">
        <f aca="false">IF($B1839="","",IFERROR(INDEX(書籍!$B$2:$B$2000,MATCH($B1839,書籍!$A$2:$A$2000,0)),"（沒建檔）"))</f>
        <v/>
      </c>
      <c r="F1839" s="9" t="str">
        <f aca="false">IF($A1839="","",IFERROR(INDEX(會員!$B$2:$B$2000,MATCH($A1839,會員!$A$2:$A$2000,0)),"（沒建檔）"))</f>
        <v/>
      </c>
      <c r="G1839" s="10" t="str">
        <f aca="false">IF($B1839="","",IF($D1839="","未還","已還"))</f>
        <v/>
      </c>
    </row>
    <row r="1840" customFormat="false" ht="15" hidden="false" customHeight="false" outlineLevel="0" collapsed="false">
      <c r="E1840" s="9" t="str">
        <f aca="false">IF($B1840="","",IFERROR(INDEX(書籍!$B$2:$B$2000,MATCH($B1840,書籍!$A$2:$A$2000,0)),"（沒建檔）"))</f>
        <v/>
      </c>
      <c r="F1840" s="9" t="str">
        <f aca="false">IF($A1840="","",IFERROR(INDEX(會員!$B$2:$B$2000,MATCH($A1840,會員!$A$2:$A$2000,0)),"（沒建檔）"))</f>
        <v/>
      </c>
      <c r="G1840" s="10" t="str">
        <f aca="false">IF($B1840="","",IF($D1840="","未還","已還"))</f>
        <v/>
      </c>
    </row>
    <row r="1841" customFormat="false" ht="15" hidden="false" customHeight="false" outlineLevel="0" collapsed="false">
      <c r="E1841" s="9" t="str">
        <f aca="false">IF($B1841="","",IFERROR(INDEX(書籍!$B$2:$B$2000,MATCH($B1841,書籍!$A$2:$A$2000,0)),"（沒建檔）"))</f>
        <v/>
      </c>
      <c r="F1841" s="9" t="str">
        <f aca="false">IF($A1841="","",IFERROR(INDEX(會員!$B$2:$B$2000,MATCH($A1841,會員!$A$2:$A$2000,0)),"（沒建檔）"))</f>
        <v/>
      </c>
      <c r="G1841" s="10" t="str">
        <f aca="false">IF($B1841="","",IF($D1841="","未還","已還"))</f>
        <v/>
      </c>
    </row>
    <row r="1842" customFormat="false" ht="15" hidden="false" customHeight="false" outlineLevel="0" collapsed="false">
      <c r="E1842" s="9" t="str">
        <f aca="false">IF($B1842="","",IFERROR(INDEX(書籍!$B$2:$B$2000,MATCH($B1842,書籍!$A$2:$A$2000,0)),"（沒建檔）"))</f>
        <v/>
      </c>
      <c r="F1842" s="9" t="str">
        <f aca="false">IF($A1842="","",IFERROR(INDEX(會員!$B$2:$B$2000,MATCH($A1842,會員!$A$2:$A$2000,0)),"（沒建檔）"))</f>
        <v/>
      </c>
      <c r="G1842" s="10" t="str">
        <f aca="false">IF($B1842="","",IF($D1842="","未還","已還"))</f>
        <v/>
      </c>
    </row>
    <row r="1843" customFormat="false" ht="15" hidden="false" customHeight="false" outlineLevel="0" collapsed="false">
      <c r="E1843" s="9" t="str">
        <f aca="false">IF($B1843="","",IFERROR(INDEX(書籍!$B$2:$B$2000,MATCH($B1843,書籍!$A$2:$A$2000,0)),"（沒建檔）"))</f>
        <v/>
      </c>
      <c r="F1843" s="9" t="str">
        <f aca="false">IF($A1843="","",IFERROR(INDEX(會員!$B$2:$B$2000,MATCH($A1843,會員!$A$2:$A$2000,0)),"（沒建檔）"))</f>
        <v/>
      </c>
      <c r="G1843" s="10" t="str">
        <f aca="false">IF($B1843="","",IF($D1843="","未還","已還"))</f>
        <v/>
      </c>
    </row>
    <row r="1844" customFormat="false" ht="15" hidden="false" customHeight="false" outlineLevel="0" collapsed="false">
      <c r="E1844" s="9" t="str">
        <f aca="false">IF($B1844="","",IFERROR(INDEX(書籍!$B$2:$B$2000,MATCH($B1844,書籍!$A$2:$A$2000,0)),"（沒建檔）"))</f>
        <v/>
      </c>
      <c r="F1844" s="9" t="str">
        <f aca="false">IF($A1844="","",IFERROR(INDEX(會員!$B$2:$B$2000,MATCH($A1844,會員!$A$2:$A$2000,0)),"（沒建檔）"))</f>
        <v/>
      </c>
      <c r="G1844" s="10" t="str">
        <f aca="false">IF($B1844="","",IF($D1844="","未還","已還"))</f>
        <v/>
      </c>
    </row>
    <row r="1845" customFormat="false" ht="15" hidden="false" customHeight="false" outlineLevel="0" collapsed="false">
      <c r="E1845" s="9" t="str">
        <f aca="false">IF($B1845="","",IFERROR(INDEX(書籍!$B$2:$B$2000,MATCH($B1845,書籍!$A$2:$A$2000,0)),"（沒建檔）"))</f>
        <v/>
      </c>
      <c r="F1845" s="9" t="str">
        <f aca="false">IF($A1845="","",IFERROR(INDEX(會員!$B$2:$B$2000,MATCH($A1845,會員!$A$2:$A$2000,0)),"（沒建檔）"))</f>
        <v/>
      </c>
      <c r="G1845" s="10" t="str">
        <f aca="false">IF($B1845="","",IF($D1845="","未還","已還"))</f>
        <v/>
      </c>
    </row>
    <row r="1846" customFormat="false" ht="15" hidden="false" customHeight="false" outlineLevel="0" collapsed="false">
      <c r="E1846" s="9" t="str">
        <f aca="false">IF($B1846="","",IFERROR(INDEX(書籍!$B$2:$B$2000,MATCH($B1846,書籍!$A$2:$A$2000,0)),"（沒建檔）"))</f>
        <v/>
      </c>
      <c r="F1846" s="9" t="str">
        <f aca="false">IF($A1846="","",IFERROR(INDEX(會員!$B$2:$B$2000,MATCH($A1846,會員!$A$2:$A$2000,0)),"（沒建檔）"))</f>
        <v/>
      </c>
      <c r="G1846" s="10" t="str">
        <f aca="false">IF($B1846="","",IF($D1846="","未還","已還"))</f>
        <v/>
      </c>
    </row>
    <row r="1847" customFormat="false" ht="15" hidden="false" customHeight="false" outlineLevel="0" collapsed="false">
      <c r="E1847" s="9" t="str">
        <f aca="false">IF($B1847="","",IFERROR(INDEX(書籍!$B$2:$B$2000,MATCH($B1847,書籍!$A$2:$A$2000,0)),"（沒建檔）"))</f>
        <v/>
      </c>
      <c r="F1847" s="9" t="str">
        <f aca="false">IF($A1847="","",IFERROR(INDEX(會員!$B$2:$B$2000,MATCH($A1847,會員!$A$2:$A$2000,0)),"（沒建檔）"))</f>
        <v/>
      </c>
      <c r="G1847" s="10" t="str">
        <f aca="false">IF($B1847="","",IF($D1847="","未還","已還"))</f>
        <v/>
      </c>
    </row>
    <row r="1848" customFormat="false" ht="15" hidden="false" customHeight="false" outlineLevel="0" collapsed="false">
      <c r="E1848" s="9" t="str">
        <f aca="false">IF($B1848="","",IFERROR(INDEX(書籍!$B$2:$B$2000,MATCH($B1848,書籍!$A$2:$A$2000,0)),"（沒建檔）"))</f>
        <v/>
      </c>
      <c r="F1848" s="9" t="str">
        <f aca="false">IF($A1848="","",IFERROR(INDEX(會員!$B$2:$B$2000,MATCH($A1848,會員!$A$2:$A$2000,0)),"（沒建檔）"))</f>
        <v/>
      </c>
      <c r="G1848" s="10" t="str">
        <f aca="false">IF($B1848="","",IF($D1848="","未還","已還"))</f>
        <v/>
      </c>
    </row>
    <row r="1849" customFormat="false" ht="15" hidden="false" customHeight="false" outlineLevel="0" collapsed="false">
      <c r="E1849" s="9" t="str">
        <f aca="false">IF($B1849="","",IFERROR(INDEX(書籍!$B$2:$B$2000,MATCH($B1849,書籍!$A$2:$A$2000,0)),"（沒建檔）"))</f>
        <v/>
      </c>
      <c r="F1849" s="9" t="str">
        <f aca="false">IF($A1849="","",IFERROR(INDEX(會員!$B$2:$B$2000,MATCH($A1849,會員!$A$2:$A$2000,0)),"（沒建檔）"))</f>
        <v/>
      </c>
      <c r="G1849" s="10" t="str">
        <f aca="false">IF($B1849="","",IF($D1849="","未還","已還"))</f>
        <v/>
      </c>
    </row>
    <row r="1850" customFormat="false" ht="15" hidden="false" customHeight="false" outlineLevel="0" collapsed="false">
      <c r="E1850" s="9" t="str">
        <f aca="false">IF($B1850="","",IFERROR(INDEX(書籍!$B$2:$B$2000,MATCH($B1850,書籍!$A$2:$A$2000,0)),"（沒建檔）"))</f>
        <v/>
      </c>
      <c r="F1850" s="9" t="str">
        <f aca="false">IF($A1850="","",IFERROR(INDEX(會員!$B$2:$B$2000,MATCH($A1850,會員!$A$2:$A$2000,0)),"（沒建檔）"))</f>
        <v/>
      </c>
      <c r="G1850" s="10" t="str">
        <f aca="false">IF($B1850="","",IF($D1850="","未還","已還"))</f>
        <v/>
      </c>
    </row>
    <row r="1851" customFormat="false" ht="15" hidden="false" customHeight="false" outlineLevel="0" collapsed="false">
      <c r="E1851" s="9" t="str">
        <f aca="false">IF($B1851="","",IFERROR(INDEX(書籍!$B$2:$B$2000,MATCH($B1851,書籍!$A$2:$A$2000,0)),"（沒建檔）"))</f>
        <v/>
      </c>
      <c r="F1851" s="9" t="str">
        <f aca="false">IF($A1851="","",IFERROR(INDEX(會員!$B$2:$B$2000,MATCH($A1851,會員!$A$2:$A$2000,0)),"（沒建檔）"))</f>
        <v/>
      </c>
      <c r="G1851" s="10" t="str">
        <f aca="false">IF($B1851="","",IF($D1851="","未還","已還"))</f>
        <v/>
      </c>
    </row>
    <row r="1852" customFormat="false" ht="15" hidden="false" customHeight="false" outlineLevel="0" collapsed="false">
      <c r="E1852" s="9" t="str">
        <f aca="false">IF($B1852="","",IFERROR(INDEX(書籍!$B$2:$B$2000,MATCH($B1852,書籍!$A$2:$A$2000,0)),"（沒建檔）"))</f>
        <v/>
      </c>
      <c r="F1852" s="9" t="str">
        <f aca="false">IF($A1852="","",IFERROR(INDEX(會員!$B$2:$B$2000,MATCH($A1852,會員!$A$2:$A$2000,0)),"（沒建檔）"))</f>
        <v/>
      </c>
      <c r="G1852" s="10" t="str">
        <f aca="false">IF($B1852="","",IF($D1852="","未還","已還"))</f>
        <v/>
      </c>
    </row>
    <row r="1853" customFormat="false" ht="15" hidden="false" customHeight="false" outlineLevel="0" collapsed="false">
      <c r="E1853" s="9" t="str">
        <f aca="false">IF($B1853="","",IFERROR(INDEX(書籍!$B$2:$B$2000,MATCH($B1853,書籍!$A$2:$A$2000,0)),"（沒建檔）"))</f>
        <v/>
      </c>
      <c r="F1853" s="9" t="str">
        <f aca="false">IF($A1853="","",IFERROR(INDEX(會員!$B$2:$B$2000,MATCH($A1853,會員!$A$2:$A$2000,0)),"（沒建檔）"))</f>
        <v/>
      </c>
      <c r="G1853" s="10" t="str">
        <f aca="false">IF($B1853="","",IF($D1853="","未還","已還"))</f>
        <v/>
      </c>
    </row>
    <row r="1854" customFormat="false" ht="15" hidden="false" customHeight="false" outlineLevel="0" collapsed="false">
      <c r="E1854" s="9" t="str">
        <f aca="false">IF($B1854="","",IFERROR(INDEX(書籍!$B$2:$B$2000,MATCH($B1854,書籍!$A$2:$A$2000,0)),"（沒建檔）"))</f>
        <v/>
      </c>
      <c r="F1854" s="9" t="str">
        <f aca="false">IF($A1854="","",IFERROR(INDEX(會員!$B$2:$B$2000,MATCH($A1854,會員!$A$2:$A$2000,0)),"（沒建檔）"))</f>
        <v/>
      </c>
      <c r="G1854" s="10" t="str">
        <f aca="false">IF($B1854="","",IF($D1854="","未還","已還"))</f>
        <v/>
      </c>
    </row>
    <row r="1855" customFormat="false" ht="15" hidden="false" customHeight="false" outlineLevel="0" collapsed="false">
      <c r="E1855" s="9" t="str">
        <f aca="false">IF($B1855="","",IFERROR(INDEX(書籍!$B$2:$B$2000,MATCH($B1855,書籍!$A$2:$A$2000,0)),"（沒建檔）"))</f>
        <v/>
      </c>
      <c r="F1855" s="9" t="str">
        <f aca="false">IF($A1855="","",IFERROR(INDEX(會員!$B$2:$B$2000,MATCH($A1855,會員!$A$2:$A$2000,0)),"（沒建檔）"))</f>
        <v/>
      </c>
      <c r="G1855" s="10" t="str">
        <f aca="false">IF($B1855="","",IF($D1855="","未還","已還"))</f>
        <v/>
      </c>
    </row>
    <row r="1856" customFormat="false" ht="15" hidden="false" customHeight="false" outlineLevel="0" collapsed="false">
      <c r="E1856" s="9" t="str">
        <f aca="false">IF($B1856="","",IFERROR(INDEX(書籍!$B$2:$B$2000,MATCH($B1856,書籍!$A$2:$A$2000,0)),"（沒建檔）"))</f>
        <v/>
      </c>
      <c r="F1856" s="9" t="str">
        <f aca="false">IF($A1856="","",IFERROR(INDEX(會員!$B$2:$B$2000,MATCH($A1856,會員!$A$2:$A$2000,0)),"（沒建檔）"))</f>
        <v/>
      </c>
      <c r="G1856" s="10" t="str">
        <f aca="false">IF($B1856="","",IF($D1856="","未還","已還"))</f>
        <v/>
      </c>
    </row>
    <row r="1857" customFormat="false" ht="15" hidden="false" customHeight="false" outlineLevel="0" collapsed="false">
      <c r="E1857" s="9" t="str">
        <f aca="false">IF($B1857="","",IFERROR(INDEX(書籍!$B$2:$B$2000,MATCH($B1857,書籍!$A$2:$A$2000,0)),"（沒建檔）"))</f>
        <v/>
      </c>
      <c r="F1857" s="9" t="str">
        <f aca="false">IF($A1857="","",IFERROR(INDEX(會員!$B$2:$B$2000,MATCH($A1857,會員!$A$2:$A$2000,0)),"（沒建檔）"))</f>
        <v/>
      </c>
      <c r="G1857" s="10" t="str">
        <f aca="false">IF($B1857="","",IF($D1857="","未還","已還"))</f>
        <v/>
      </c>
    </row>
    <row r="1858" customFormat="false" ht="15" hidden="false" customHeight="false" outlineLevel="0" collapsed="false">
      <c r="E1858" s="9" t="str">
        <f aca="false">IF($B1858="","",IFERROR(INDEX(書籍!$B$2:$B$2000,MATCH($B1858,書籍!$A$2:$A$2000,0)),"（沒建檔）"))</f>
        <v/>
      </c>
      <c r="F1858" s="9" t="str">
        <f aca="false">IF($A1858="","",IFERROR(INDEX(會員!$B$2:$B$2000,MATCH($A1858,會員!$A$2:$A$2000,0)),"（沒建檔）"))</f>
        <v/>
      </c>
      <c r="G1858" s="10" t="str">
        <f aca="false">IF($B1858="","",IF($D1858="","未還","已還"))</f>
        <v/>
      </c>
    </row>
    <row r="1859" customFormat="false" ht="15" hidden="false" customHeight="false" outlineLevel="0" collapsed="false">
      <c r="E1859" s="9" t="str">
        <f aca="false">IF($B1859="","",IFERROR(INDEX(書籍!$B$2:$B$2000,MATCH($B1859,書籍!$A$2:$A$2000,0)),"（沒建檔）"))</f>
        <v/>
      </c>
      <c r="F1859" s="9" t="str">
        <f aca="false">IF($A1859="","",IFERROR(INDEX(會員!$B$2:$B$2000,MATCH($A1859,會員!$A$2:$A$2000,0)),"（沒建檔）"))</f>
        <v/>
      </c>
      <c r="G1859" s="10" t="str">
        <f aca="false">IF($B1859="","",IF($D1859="","未還","已還"))</f>
        <v/>
      </c>
    </row>
    <row r="1860" customFormat="false" ht="15" hidden="false" customHeight="false" outlineLevel="0" collapsed="false">
      <c r="E1860" s="9" t="str">
        <f aca="false">IF($B1860="","",IFERROR(INDEX(書籍!$B$2:$B$2000,MATCH($B1860,書籍!$A$2:$A$2000,0)),"（沒建檔）"))</f>
        <v/>
      </c>
      <c r="F1860" s="9" t="str">
        <f aca="false">IF($A1860="","",IFERROR(INDEX(會員!$B$2:$B$2000,MATCH($A1860,會員!$A$2:$A$2000,0)),"（沒建檔）"))</f>
        <v/>
      </c>
      <c r="G1860" s="10" t="str">
        <f aca="false">IF($B1860="","",IF($D1860="","未還","已還"))</f>
        <v/>
      </c>
    </row>
    <row r="1861" customFormat="false" ht="15" hidden="false" customHeight="false" outlineLevel="0" collapsed="false">
      <c r="E1861" s="9" t="str">
        <f aca="false">IF($B1861="","",IFERROR(INDEX(書籍!$B$2:$B$2000,MATCH($B1861,書籍!$A$2:$A$2000,0)),"（沒建檔）"))</f>
        <v/>
      </c>
      <c r="F1861" s="9" t="str">
        <f aca="false">IF($A1861="","",IFERROR(INDEX(會員!$B$2:$B$2000,MATCH($A1861,會員!$A$2:$A$2000,0)),"（沒建檔）"))</f>
        <v/>
      </c>
      <c r="G1861" s="10" t="str">
        <f aca="false">IF($B1861="","",IF($D1861="","未還","已還"))</f>
        <v/>
      </c>
    </row>
    <row r="1862" customFormat="false" ht="15" hidden="false" customHeight="false" outlineLevel="0" collapsed="false">
      <c r="E1862" s="9" t="str">
        <f aca="false">IF($B1862="","",IFERROR(INDEX(書籍!$B$2:$B$2000,MATCH($B1862,書籍!$A$2:$A$2000,0)),"（沒建檔）"))</f>
        <v/>
      </c>
      <c r="F1862" s="9" t="str">
        <f aca="false">IF($A1862="","",IFERROR(INDEX(會員!$B$2:$B$2000,MATCH($A1862,會員!$A$2:$A$2000,0)),"（沒建檔）"))</f>
        <v/>
      </c>
      <c r="G1862" s="10" t="str">
        <f aca="false">IF($B1862="","",IF($D1862="","未還","已還"))</f>
        <v/>
      </c>
    </row>
    <row r="1863" customFormat="false" ht="15" hidden="false" customHeight="false" outlineLevel="0" collapsed="false">
      <c r="E1863" s="9" t="str">
        <f aca="false">IF($B1863="","",IFERROR(INDEX(書籍!$B$2:$B$2000,MATCH($B1863,書籍!$A$2:$A$2000,0)),"（沒建檔）"))</f>
        <v/>
      </c>
      <c r="F1863" s="9" t="str">
        <f aca="false">IF($A1863="","",IFERROR(INDEX(會員!$B$2:$B$2000,MATCH($A1863,會員!$A$2:$A$2000,0)),"（沒建檔）"))</f>
        <v/>
      </c>
      <c r="G1863" s="10" t="str">
        <f aca="false">IF($B1863="","",IF($D1863="","未還","已還"))</f>
        <v/>
      </c>
    </row>
    <row r="1864" customFormat="false" ht="15" hidden="false" customHeight="false" outlineLevel="0" collapsed="false">
      <c r="E1864" s="9" t="str">
        <f aca="false">IF($B1864="","",IFERROR(INDEX(書籍!$B$2:$B$2000,MATCH($B1864,書籍!$A$2:$A$2000,0)),"（沒建檔）"))</f>
        <v/>
      </c>
      <c r="F1864" s="9" t="str">
        <f aca="false">IF($A1864="","",IFERROR(INDEX(會員!$B$2:$B$2000,MATCH($A1864,會員!$A$2:$A$2000,0)),"（沒建檔）"))</f>
        <v/>
      </c>
      <c r="G1864" s="10" t="str">
        <f aca="false">IF($B1864="","",IF($D1864="","未還","已還"))</f>
        <v/>
      </c>
    </row>
    <row r="1865" customFormat="false" ht="15" hidden="false" customHeight="false" outlineLevel="0" collapsed="false">
      <c r="E1865" s="9" t="str">
        <f aca="false">IF($B1865="","",IFERROR(INDEX(書籍!$B$2:$B$2000,MATCH($B1865,書籍!$A$2:$A$2000,0)),"（沒建檔）"))</f>
        <v/>
      </c>
      <c r="F1865" s="9" t="str">
        <f aca="false">IF($A1865="","",IFERROR(INDEX(會員!$B$2:$B$2000,MATCH($A1865,會員!$A$2:$A$2000,0)),"（沒建檔）"))</f>
        <v/>
      </c>
      <c r="G1865" s="10" t="str">
        <f aca="false">IF($B1865="","",IF($D1865="","未還","已還"))</f>
        <v/>
      </c>
    </row>
    <row r="1866" customFormat="false" ht="15" hidden="false" customHeight="false" outlineLevel="0" collapsed="false">
      <c r="E1866" s="9" t="str">
        <f aca="false">IF($B1866="","",IFERROR(INDEX(書籍!$B$2:$B$2000,MATCH($B1866,書籍!$A$2:$A$2000,0)),"（沒建檔）"))</f>
        <v/>
      </c>
      <c r="F1866" s="9" t="str">
        <f aca="false">IF($A1866="","",IFERROR(INDEX(會員!$B$2:$B$2000,MATCH($A1866,會員!$A$2:$A$2000,0)),"（沒建檔）"))</f>
        <v/>
      </c>
      <c r="G1866" s="10" t="str">
        <f aca="false">IF($B1866="","",IF($D1866="","未還","已還"))</f>
        <v/>
      </c>
    </row>
    <row r="1867" customFormat="false" ht="15" hidden="false" customHeight="false" outlineLevel="0" collapsed="false">
      <c r="E1867" s="9" t="str">
        <f aca="false">IF($B1867="","",IFERROR(INDEX(書籍!$B$2:$B$2000,MATCH($B1867,書籍!$A$2:$A$2000,0)),"（沒建檔）"))</f>
        <v/>
      </c>
      <c r="F1867" s="9" t="str">
        <f aca="false">IF($A1867="","",IFERROR(INDEX(會員!$B$2:$B$2000,MATCH($A1867,會員!$A$2:$A$2000,0)),"（沒建檔）"))</f>
        <v/>
      </c>
      <c r="G1867" s="10" t="str">
        <f aca="false">IF($B1867="","",IF($D1867="","未還","已還"))</f>
        <v/>
      </c>
    </row>
    <row r="1868" customFormat="false" ht="15" hidden="false" customHeight="false" outlineLevel="0" collapsed="false">
      <c r="E1868" s="9" t="str">
        <f aca="false">IF($B1868="","",IFERROR(INDEX(書籍!$B$2:$B$2000,MATCH($B1868,書籍!$A$2:$A$2000,0)),"（沒建檔）"))</f>
        <v/>
      </c>
      <c r="F1868" s="9" t="str">
        <f aca="false">IF($A1868="","",IFERROR(INDEX(會員!$B$2:$B$2000,MATCH($A1868,會員!$A$2:$A$2000,0)),"（沒建檔）"))</f>
        <v/>
      </c>
      <c r="G1868" s="10" t="str">
        <f aca="false">IF($B1868="","",IF($D1868="","未還","已還"))</f>
        <v/>
      </c>
    </row>
    <row r="1869" customFormat="false" ht="15" hidden="false" customHeight="false" outlineLevel="0" collapsed="false">
      <c r="E1869" s="9" t="str">
        <f aca="false">IF($B1869="","",IFERROR(INDEX(書籍!$B$2:$B$2000,MATCH($B1869,書籍!$A$2:$A$2000,0)),"（沒建檔）"))</f>
        <v/>
      </c>
      <c r="F1869" s="9" t="str">
        <f aca="false">IF($A1869="","",IFERROR(INDEX(會員!$B$2:$B$2000,MATCH($A1869,會員!$A$2:$A$2000,0)),"（沒建檔）"))</f>
        <v/>
      </c>
      <c r="G1869" s="10" t="str">
        <f aca="false">IF($B1869="","",IF($D1869="","未還","已還"))</f>
        <v/>
      </c>
    </row>
    <row r="1870" customFormat="false" ht="15" hidden="false" customHeight="false" outlineLevel="0" collapsed="false">
      <c r="E1870" s="9" t="str">
        <f aca="false">IF($B1870="","",IFERROR(INDEX(書籍!$B$2:$B$2000,MATCH($B1870,書籍!$A$2:$A$2000,0)),"（沒建檔）"))</f>
        <v/>
      </c>
      <c r="F1870" s="9" t="str">
        <f aca="false">IF($A1870="","",IFERROR(INDEX(會員!$B$2:$B$2000,MATCH($A1870,會員!$A$2:$A$2000,0)),"（沒建檔）"))</f>
        <v/>
      </c>
      <c r="G1870" s="10" t="str">
        <f aca="false">IF($B1870="","",IF($D1870="","未還","已還"))</f>
        <v/>
      </c>
    </row>
    <row r="1871" customFormat="false" ht="15" hidden="false" customHeight="false" outlineLevel="0" collapsed="false">
      <c r="E1871" s="9" t="str">
        <f aca="false">IF($B1871="","",IFERROR(INDEX(書籍!$B$2:$B$2000,MATCH($B1871,書籍!$A$2:$A$2000,0)),"（沒建檔）"))</f>
        <v/>
      </c>
      <c r="F1871" s="9" t="str">
        <f aca="false">IF($A1871="","",IFERROR(INDEX(會員!$B$2:$B$2000,MATCH($A1871,會員!$A$2:$A$2000,0)),"（沒建檔）"))</f>
        <v/>
      </c>
      <c r="G1871" s="10" t="str">
        <f aca="false">IF($B1871="","",IF($D1871="","未還","已還"))</f>
        <v/>
      </c>
    </row>
    <row r="1872" customFormat="false" ht="15" hidden="false" customHeight="false" outlineLevel="0" collapsed="false">
      <c r="E1872" s="9" t="str">
        <f aca="false">IF($B1872="","",IFERROR(INDEX(書籍!$B$2:$B$2000,MATCH($B1872,書籍!$A$2:$A$2000,0)),"（沒建檔）"))</f>
        <v/>
      </c>
      <c r="F1872" s="9" t="str">
        <f aca="false">IF($A1872="","",IFERROR(INDEX(會員!$B$2:$B$2000,MATCH($A1872,會員!$A$2:$A$2000,0)),"（沒建檔）"))</f>
        <v/>
      </c>
      <c r="G1872" s="10" t="str">
        <f aca="false">IF($B1872="","",IF($D1872="","未還","已還"))</f>
        <v/>
      </c>
    </row>
    <row r="1873" customFormat="false" ht="15" hidden="false" customHeight="false" outlineLevel="0" collapsed="false">
      <c r="E1873" s="9" t="str">
        <f aca="false">IF($B1873="","",IFERROR(INDEX(書籍!$B$2:$B$2000,MATCH($B1873,書籍!$A$2:$A$2000,0)),"（沒建檔）"))</f>
        <v/>
      </c>
      <c r="F1873" s="9" t="str">
        <f aca="false">IF($A1873="","",IFERROR(INDEX(會員!$B$2:$B$2000,MATCH($A1873,會員!$A$2:$A$2000,0)),"（沒建檔）"))</f>
        <v/>
      </c>
      <c r="G1873" s="10" t="str">
        <f aca="false">IF($B1873="","",IF($D1873="","未還","已還"))</f>
        <v/>
      </c>
    </row>
    <row r="1874" customFormat="false" ht="15" hidden="false" customHeight="false" outlineLevel="0" collapsed="false">
      <c r="E1874" s="9" t="str">
        <f aca="false">IF($B1874="","",IFERROR(INDEX(書籍!$B$2:$B$2000,MATCH($B1874,書籍!$A$2:$A$2000,0)),"（沒建檔）"))</f>
        <v/>
      </c>
      <c r="F1874" s="9" t="str">
        <f aca="false">IF($A1874="","",IFERROR(INDEX(會員!$B$2:$B$2000,MATCH($A1874,會員!$A$2:$A$2000,0)),"（沒建檔）"))</f>
        <v/>
      </c>
      <c r="G1874" s="10" t="str">
        <f aca="false">IF($B1874="","",IF($D1874="","未還","已還"))</f>
        <v/>
      </c>
    </row>
    <row r="1875" customFormat="false" ht="15" hidden="false" customHeight="false" outlineLevel="0" collapsed="false">
      <c r="E1875" s="9" t="str">
        <f aca="false">IF($B1875="","",IFERROR(INDEX(書籍!$B$2:$B$2000,MATCH($B1875,書籍!$A$2:$A$2000,0)),"（沒建檔）"))</f>
        <v/>
      </c>
      <c r="F1875" s="9" t="str">
        <f aca="false">IF($A1875="","",IFERROR(INDEX(會員!$B$2:$B$2000,MATCH($A1875,會員!$A$2:$A$2000,0)),"（沒建檔）"))</f>
        <v/>
      </c>
      <c r="G1875" s="10" t="str">
        <f aca="false">IF($B1875="","",IF($D1875="","未還","已還"))</f>
        <v/>
      </c>
    </row>
    <row r="1876" customFormat="false" ht="15" hidden="false" customHeight="false" outlineLevel="0" collapsed="false">
      <c r="E1876" s="9" t="str">
        <f aca="false">IF($B1876="","",IFERROR(INDEX(書籍!$B$2:$B$2000,MATCH($B1876,書籍!$A$2:$A$2000,0)),"（沒建檔）"))</f>
        <v/>
      </c>
      <c r="F1876" s="9" t="str">
        <f aca="false">IF($A1876="","",IFERROR(INDEX(會員!$B$2:$B$2000,MATCH($A1876,會員!$A$2:$A$2000,0)),"（沒建檔）"))</f>
        <v/>
      </c>
      <c r="G1876" s="10" t="str">
        <f aca="false">IF($B1876="","",IF($D1876="","未還","已還"))</f>
        <v/>
      </c>
    </row>
    <row r="1877" customFormat="false" ht="15" hidden="false" customHeight="false" outlineLevel="0" collapsed="false">
      <c r="E1877" s="9" t="str">
        <f aca="false">IF($B1877="","",IFERROR(INDEX(書籍!$B$2:$B$2000,MATCH($B1877,書籍!$A$2:$A$2000,0)),"（沒建檔）"))</f>
        <v/>
      </c>
      <c r="F1877" s="9" t="str">
        <f aca="false">IF($A1877="","",IFERROR(INDEX(會員!$B$2:$B$2000,MATCH($A1877,會員!$A$2:$A$2000,0)),"（沒建檔）"))</f>
        <v/>
      </c>
      <c r="G1877" s="10" t="str">
        <f aca="false">IF($B1877="","",IF($D1877="","未還","已還"))</f>
        <v/>
      </c>
    </row>
    <row r="1878" customFormat="false" ht="15" hidden="false" customHeight="false" outlineLevel="0" collapsed="false">
      <c r="E1878" s="9" t="str">
        <f aca="false">IF($B1878="","",IFERROR(INDEX(書籍!$B$2:$B$2000,MATCH($B1878,書籍!$A$2:$A$2000,0)),"（沒建檔）"))</f>
        <v/>
      </c>
      <c r="F1878" s="9" t="str">
        <f aca="false">IF($A1878="","",IFERROR(INDEX(會員!$B$2:$B$2000,MATCH($A1878,會員!$A$2:$A$2000,0)),"（沒建檔）"))</f>
        <v/>
      </c>
      <c r="G1878" s="10" t="str">
        <f aca="false">IF($B1878="","",IF($D1878="","未還","已還"))</f>
        <v/>
      </c>
    </row>
    <row r="1879" customFormat="false" ht="15" hidden="false" customHeight="false" outlineLevel="0" collapsed="false">
      <c r="E1879" s="9" t="str">
        <f aca="false">IF($B1879="","",IFERROR(INDEX(書籍!$B$2:$B$2000,MATCH($B1879,書籍!$A$2:$A$2000,0)),"（沒建檔）"))</f>
        <v/>
      </c>
      <c r="F1879" s="9" t="str">
        <f aca="false">IF($A1879="","",IFERROR(INDEX(會員!$B$2:$B$2000,MATCH($A1879,會員!$A$2:$A$2000,0)),"（沒建檔）"))</f>
        <v/>
      </c>
      <c r="G1879" s="10" t="str">
        <f aca="false">IF($B1879="","",IF($D1879="","未還","已還"))</f>
        <v/>
      </c>
    </row>
    <row r="1880" customFormat="false" ht="15" hidden="false" customHeight="false" outlineLevel="0" collapsed="false">
      <c r="E1880" s="9" t="str">
        <f aca="false">IF($B1880="","",IFERROR(INDEX(書籍!$B$2:$B$2000,MATCH($B1880,書籍!$A$2:$A$2000,0)),"（沒建檔）"))</f>
        <v/>
      </c>
      <c r="F1880" s="9" t="str">
        <f aca="false">IF($A1880="","",IFERROR(INDEX(會員!$B$2:$B$2000,MATCH($A1880,會員!$A$2:$A$2000,0)),"（沒建檔）"))</f>
        <v/>
      </c>
      <c r="G1880" s="10" t="str">
        <f aca="false">IF($B1880="","",IF($D1880="","未還","已還"))</f>
        <v/>
      </c>
    </row>
    <row r="1881" customFormat="false" ht="15" hidden="false" customHeight="false" outlineLevel="0" collapsed="false">
      <c r="E1881" s="9" t="str">
        <f aca="false">IF($B1881="","",IFERROR(INDEX(書籍!$B$2:$B$2000,MATCH($B1881,書籍!$A$2:$A$2000,0)),"（沒建檔）"))</f>
        <v/>
      </c>
      <c r="F1881" s="9" t="str">
        <f aca="false">IF($A1881="","",IFERROR(INDEX(會員!$B$2:$B$2000,MATCH($A1881,會員!$A$2:$A$2000,0)),"（沒建檔）"))</f>
        <v/>
      </c>
      <c r="G1881" s="10" t="str">
        <f aca="false">IF($B1881="","",IF($D1881="","未還","已還"))</f>
        <v/>
      </c>
    </row>
    <row r="1882" customFormat="false" ht="15" hidden="false" customHeight="false" outlineLevel="0" collapsed="false">
      <c r="E1882" s="9" t="str">
        <f aca="false">IF($B1882="","",IFERROR(INDEX(書籍!$B$2:$B$2000,MATCH($B1882,書籍!$A$2:$A$2000,0)),"（沒建檔）"))</f>
        <v/>
      </c>
      <c r="F1882" s="9" t="str">
        <f aca="false">IF($A1882="","",IFERROR(INDEX(會員!$B$2:$B$2000,MATCH($A1882,會員!$A$2:$A$2000,0)),"（沒建檔）"))</f>
        <v/>
      </c>
      <c r="G1882" s="10" t="str">
        <f aca="false">IF($B1882="","",IF($D1882="","未還","已還"))</f>
        <v/>
      </c>
    </row>
    <row r="1883" customFormat="false" ht="15" hidden="false" customHeight="false" outlineLevel="0" collapsed="false">
      <c r="E1883" s="9" t="str">
        <f aca="false">IF($B1883="","",IFERROR(INDEX(書籍!$B$2:$B$2000,MATCH($B1883,書籍!$A$2:$A$2000,0)),"（沒建檔）"))</f>
        <v/>
      </c>
      <c r="F1883" s="9" t="str">
        <f aca="false">IF($A1883="","",IFERROR(INDEX(會員!$B$2:$B$2000,MATCH($A1883,會員!$A$2:$A$2000,0)),"（沒建檔）"))</f>
        <v/>
      </c>
      <c r="G1883" s="10" t="str">
        <f aca="false">IF($B1883="","",IF($D1883="","未還","已還"))</f>
        <v/>
      </c>
    </row>
    <row r="1884" customFormat="false" ht="15" hidden="false" customHeight="false" outlineLevel="0" collapsed="false">
      <c r="E1884" s="9" t="str">
        <f aca="false">IF($B1884="","",IFERROR(INDEX(書籍!$B$2:$B$2000,MATCH($B1884,書籍!$A$2:$A$2000,0)),"（沒建檔）"))</f>
        <v/>
      </c>
      <c r="F1884" s="9" t="str">
        <f aca="false">IF($A1884="","",IFERROR(INDEX(會員!$B$2:$B$2000,MATCH($A1884,會員!$A$2:$A$2000,0)),"（沒建檔）"))</f>
        <v/>
      </c>
      <c r="G1884" s="10" t="str">
        <f aca="false">IF($B1884="","",IF($D1884="","未還","已還"))</f>
        <v/>
      </c>
    </row>
    <row r="1885" customFormat="false" ht="15" hidden="false" customHeight="false" outlineLevel="0" collapsed="false">
      <c r="E1885" s="9" t="str">
        <f aca="false">IF($B1885="","",IFERROR(INDEX(書籍!$B$2:$B$2000,MATCH($B1885,書籍!$A$2:$A$2000,0)),"（沒建檔）"))</f>
        <v/>
      </c>
      <c r="F1885" s="9" t="str">
        <f aca="false">IF($A1885="","",IFERROR(INDEX(會員!$B$2:$B$2000,MATCH($A1885,會員!$A$2:$A$2000,0)),"（沒建檔）"))</f>
        <v/>
      </c>
      <c r="G1885" s="10" t="str">
        <f aca="false">IF($B1885="","",IF($D1885="","未還","已還"))</f>
        <v/>
      </c>
    </row>
    <row r="1886" customFormat="false" ht="15" hidden="false" customHeight="false" outlineLevel="0" collapsed="false">
      <c r="E1886" s="9" t="str">
        <f aca="false">IF($B1886="","",IFERROR(INDEX(書籍!$B$2:$B$2000,MATCH($B1886,書籍!$A$2:$A$2000,0)),"（沒建檔）"))</f>
        <v/>
      </c>
      <c r="F1886" s="9" t="str">
        <f aca="false">IF($A1886="","",IFERROR(INDEX(會員!$B$2:$B$2000,MATCH($A1886,會員!$A$2:$A$2000,0)),"（沒建檔）"))</f>
        <v/>
      </c>
      <c r="G1886" s="10" t="str">
        <f aca="false">IF($B1886="","",IF($D1886="","未還","已還"))</f>
        <v/>
      </c>
    </row>
    <row r="1887" customFormat="false" ht="15" hidden="false" customHeight="false" outlineLevel="0" collapsed="false">
      <c r="E1887" s="9" t="str">
        <f aca="false">IF($B1887="","",IFERROR(INDEX(書籍!$B$2:$B$2000,MATCH($B1887,書籍!$A$2:$A$2000,0)),"（沒建檔）"))</f>
        <v/>
      </c>
      <c r="F1887" s="9" t="str">
        <f aca="false">IF($A1887="","",IFERROR(INDEX(會員!$B$2:$B$2000,MATCH($A1887,會員!$A$2:$A$2000,0)),"（沒建檔）"))</f>
        <v/>
      </c>
      <c r="G1887" s="10" t="str">
        <f aca="false">IF($B1887="","",IF($D1887="","未還","已還"))</f>
        <v/>
      </c>
    </row>
    <row r="1888" customFormat="false" ht="15" hidden="false" customHeight="false" outlineLevel="0" collapsed="false">
      <c r="E1888" s="9" t="str">
        <f aca="false">IF($B1888="","",IFERROR(INDEX(書籍!$B$2:$B$2000,MATCH($B1888,書籍!$A$2:$A$2000,0)),"（沒建檔）"))</f>
        <v/>
      </c>
      <c r="F1888" s="9" t="str">
        <f aca="false">IF($A1888="","",IFERROR(INDEX(會員!$B$2:$B$2000,MATCH($A1888,會員!$A$2:$A$2000,0)),"（沒建檔）"))</f>
        <v/>
      </c>
      <c r="G1888" s="10" t="str">
        <f aca="false">IF($B1888="","",IF($D1888="","未還","已還"))</f>
        <v/>
      </c>
    </row>
    <row r="1889" customFormat="false" ht="15" hidden="false" customHeight="false" outlineLevel="0" collapsed="false">
      <c r="E1889" s="9" t="str">
        <f aca="false">IF($B1889="","",IFERROR(INDEX(書籍!$B$2:$B$2000,MATCH($B1889,書籍!$A$2:$A$2000,0)),"（沒建檔）"))</f>
        <v/>
      </c>
      <c r="F1889" s="9" t="str">
        <f aca="false">IF($A1889="","",IFERROR(INDEX(會員!$B$2:$B$2000,MATCH($A1889,會員!$A$2:$A$2000,0)),"（沒建檔）"))</f>
        <v/>
      </c>
      <c r="G1889" s="10" t="str">
        <f aca="false">IF($B1889="","",IF($D1889="","未還","已還"))</f>
        <v/>
      </c>
    </row>
    <row r="1890" customFormat="false" ht="15" hidden="false" customHeight="false" outlineLevel="0" collapsed="false">
      <c r="E1890" s="9" t="str">
        <f aca="false">IF($B1890="","",IFERROR(INDEX(書籍!$B$2:$B$2000,MATCH($B1890,書籍!$A$2:$A$2000,0)),"（沒建檔）"))</f>
        <v/>
      </c>
      <c r="F1890" s="9" t="str">
        <f aca="false">IF($A1890="","",IFERROR(INDEX(會員!$B$2:$B$2000,MATCH($A1890,會員!$A$2:$A$2000,0)),"（沒建檔）"))</f>
        <v/>
      </c>
      <c r="G1890" s="10" t="str">
        <f aca="false">IF($B1890="","",IF($D1890="","未還","已還"))</f>
        <v/>
      </c>
    </row>
    <row r="1891" customFormat="false" ht="15" hidden="false" customHeight="false" outlineLevel="0" collapsed="false">
      <c r="E1891" s="9" t="str">
        <f aca="false">IF($B1891="","",IFERROR(INDEX(書籍!$B$2:$B$2000,MATCH($B1891,書籍!$A$2:$A$2000,0)),"（沒建檔）"))</f>
        <v/>
      </c>
      <c r="F1891" s="9" t="str">
        <f aca="false">IF($A1891="","",IFERROR(INDEX(會員!$B$2:$B$2000,MATCH($A1891,會員!$A$2:$A$2000,0)),"（沒建檔）"))</f>
        <v/>
      </c>
      <c r="G1891" s="10" t="str">
        <f aca="false">IF($B1891="","",IF($D1891="","未還","已還"))</f>
        <v/>
      </c>
    </row>
    <row r="1892" customFormat="false" ht="15" hidden="false" customHeight="false" outlineLevel="0" collapsed="false">
      <c r="E1892" s="9" t="str">
        <f aca="false">IF($B1892="","",IFERROR(INDEX(書籍!$B$2:$B$2000,MATCH($B1892,書籍!$A$2:$A$2000,0)),"（沒建檔）"))</f>
        <v/>
      </c>
      <c r="F1892" s="9" t="str">
        <f aca="false">IF($A1892="","",IFERROR(INDEX(會員!$B$2:$B$2000,MATCH($A1892,會員!$A$2:$A$2000,0)),"（沒建檔）"))</f>
        <v/>
      </c>
      <c r="G1892" s="10" t="str">
        <f aca="false">IF($B1892="","",IF($D1892="","未還","已還"))</f>
        <v/>
      </c>
    </row>
    <row r="1893" customFormat="false" ht="15" hidden="false" customHeight="false" outlineLevel="0" collapsed="false">
      <c r="E1893" s="9" t="str">
        <f aca="false">IF($B1893="","",IFERROR(INDEX(書籍!$B$2:$B$2000,MATCH($B1893,書籍!$A$2:$A$2000,0)),"（沒建檔）"))</f>
        <v/>
      </c>
      <c r="F1893" s="9" t="str">
        <f aca="false">IF($A1893="","",IFERROR(INDEX(會員!$B$2:$B$2000,MATCH($A1893,會員!$A$2:$A$2000,0)),"（沒建檔）"))</f>
        <v/>
      </c>
      <c r="G1893" s="10" t="str">
        <f aca="false">IF($B1893="","",IF($D1893="","未還","已還"))</f>
        <v/>
      </c>
    </row>
    <row r="1894" customFormat="false" ht="15" hidden="false" customHeight="false" outlineLevel="0" collapsed="false">
      <c r="E1894" s="9" t="str">
        <f aca="false">IF($B1894="","",IFERROR(INDEX(書籍!$B$2:$B$2000,MATCH($B1894,書籍!$A$2:$A$2000,0)),"（沒建檔）"))</f>
        <v/>
      </c>
      <c r="F1894" s="9" t="str">
        <f aca="false">IF($A1894="","",IFERROR(INDEX(會員!$B$2:$B$2000,MATCH($A1894,會員!$A$2:$A$2000,0)),"（沒建檔）"))</f>
        <v/>
      </c>
      <c r="G1894" s="10" t="str">
        <f aca="false">IF($B1894="","",IF($D1894="","未還","已還"))</f>
        <v/>
      </c>
    </row>
    <row r="1895" customFormat="false" ht="15" hidden="false" customHeight="false" outlineLevel="0" collapsed="false">
      <c r="E1895" s="9" t="str">
        <f aca="false">IF($B1895="","",IFERROR(INDEX(書籍!$B$2:$B$2000,MATCH($B1895,書籍!$A$2:$A$2000,0)),"（沒建檔）"))</f>
        <v/>
      </c>
      <c r="F1895" s="9" t="str">
        <f aca="false">IF($A1895="","",IFERROR(INDEX(會員!$B$2:$B$2000,MATCH($A1895,會員!$A$2:$A$2000,0)),"（沒建檔）"))</f>
        <v/>
      </c>
      <c r="G1895" s="10" t="str">
        <f aca="false">IF($B1895="","",IF($D1895="","未還","已還"))</f>
        <v/>
      </c>
    </row>
    <row r="1896" customFormat="false" ht="15" hidden="false" customHeight="false" outlineLevel="0" collapsed="false">
      <c r="E1896" s="9" t="str">
        <f aca="false">IF($B1896="","",IFERROR(INDEX(書籍!$B$2:$B$2000,MATCH($B1896,書籍!$A$2:$A$2000,0)),"（沒建檔）"))</f>
        <v/>
      </c>
      <c r="F1896" s="9" t="str">
        <f aca="false">IF($A1896="","",IFERROR(INDEX(會員!$B$2:$B$2000,MATCH($A1896,會員!$A$2:$A$2000,0)),"（沒建檔）"))</f>
        <v/>
      </c>
      <c r="G1896" s="10" t="str">
        <f aca="false">IF($B1896="","",IF($D1896="","未還","已還"))</f>
        <v/>
      </c>
    </row>
    <row r="1897" customFormat="false" ht="15" hidden="false" customHeight="false" outlineLevel="0" collapsed="false">
      <c r="E1897" s="9" t="str">
        <f aca="false">IF($B1897="","",IFERROR(INDEX(書籍!$B$2:$B$2000,MATCH($B1897,書籍!$A$2:$A$2000,0)),"（沒建檔）"))</f>
        <v/>
      </c>
      <c r="F1897" s="9" t="str">
        <f aca="false">IF($A1897="","",IFERROR(INDEX(會員!$B$2:$B$2000,MATCH($A1897,會員!$A$2:$A$2000,0)),"（沒建檔）"))</f>
        <v/>
      </c>
      <c r="G1897" s="10" t="str">
        <f aca="false">IF($B1897="","",IF($D1897="","未還","已還"))</f>
        <v/>
      </c>
    </row>
    <row r="1898" customFormat="false" ht="15" hidden="false" customHeight="false" outlineLevel="0" collapsed="false">
      <c r="E1898" s="9" t="str">
        <f aca="false">IF($B1898="","",IFERROR(INDEX(書籍!$B$2:$B$2000,MATCH($B1898,書籍!$A$2:$A$2000,0)),"（沒建檔）"))</f>
        <v/>
      </c>
      <c r="F1898" s="9" t="str">
        <f aca="false">IF($A1898="","",IFERROR(INDEX(會員!$B$2:$B$2000,MATCH($A1898,會員!$A$2:$A$2000,0)),"（沒建檔）"))</f>
        <v/>
      </c>
      <c r="G1898" s="10" t="str">
        <f aca="false">IF($B1898="","",IF($D1898="","未還","已還"))</f>
        <v/>
      </c>
    </row>
    <row r="1899" customFormat="false" ht="15" hidden="false" customHeight="false" outlineLevel="0" collapsed="false">
      <c r="E1899" s="9" t="str">
        <f aca="false">IF($B1899="","",IFERROR(INDEX(書籍!$B$2:$B$2000,MATCH($B1899,書籍!$A$2:$A$2000,0)),"（沒建檔）"))</f>
        <v/>
      </c>
      <c r="F1899" s="9" t="str">
        <f aca="false">IF($A1899="","",IFERROR(INDEX(會員!$B$2:$B$2000,MATCH($A1899,會員!$A$2:$A$2000,0)),"（沒建檔）"))</f>
        <v/>
      </c>
      <c r="G1899" s="10" t="str">
        <f aca="false">IF($B1899="","",IF($D1899="","未還","已還"))</f>
        <v/>
      </c>
    </row>
    <row r="1900" customFormat="false" ht="15" hidden="false" customHeight="false" outlineLevel="0" collapsed="false">
      <c r="E1900" s="9" t="str">
        <f aca="false">IF($B1900="","",IFERROR(INDEX(書籍!$B$2:$B$2000,MATCH($B1900,書籍!$A$2:$A$2000,0)),"（沒建檔）"))</f>
        <v/>
      </c>
      <c r="F1900" s="9" t="str">
        <f aca="false">IF($A1900="","",IFERROR(INDEX(會員!$B$2:$B$2000,MATCH($A1900,會員!$A$2:$A$2000,0)),"（沒建檔）"))</f>
        <v/>
      </c>
      <c r="G1900" s="10" t="str">
        <f aca="false">IF($B1900="","",IF($D1900="","未還","已還"))</f>
        <v/>
      </c>
    </row>
    <row r="1901" customFormat="false" ht="15" hidden="false" customHeight="false" outlineLevel="0" collapsed="false">
      <c r="E1901" s="9" t="str">
        <f aca="false">IF($B1901="","",IFERROR(INDEX(書籍!$B$2:$B$2000,MATCH($B1901,書籍!$A$2:$A$2000,0)),"（沒建檔）"))</f>
        <v/>
      </c>
      <c r="F1901" s="9" t="str">
        <f aca="false">IF($A1901="","",IFERROR(INDEX(會員!$B$2:$B$2000,MATCH($A1901,會員!$A$2:$A$2000,0)),"（沒建檔）"))</f>
        <v/>
      </c>
      <c r="G1901" s="10" t="str">
        <f aca="false">IF($B1901="","",IF($D1901="","未還","已還"))</f>
        <v/>
      </c>
    </row>
    <row r="1902" customFormat="false" ht="15" hidden="false" customHeight="false" outlineLevel="0" collapsed="false">
      <c r="E1902" s="9" t="str">
        <f aca="false">IF($B1902="","",IFERROR(INDEX(書籍!$B$2:$B$2000,MATCH($B1902,書籍!$A$2:$A$2000,0)),"（沒建檔）"))</f>
        <v/>
      </c>
      <c r="F1902" s="9" t="str">
        <f aca="false">IF($A1902="","",IFERROR(INDEX(會員!$B$2:$B$2000,MATCH($A1902,會員!$A$2:$A$2000,0)),"（沒建檔）"))</f>
        <v/>
      </c>
      <c r="G1902" s="10" t="str">
        <f aca="false">IF($B1902="","",IF($D1902="","未還","已還"))</f>
        <v/>
      </c>
    </row>
    <row r="1903" customFormat="false" ht="15" hidden="false" customHeight="false" outlineLevel="0" collapsed="false">
      <c r="E1903" s="9" t="str">
        <f aca="false">IF($B1903="","",IFERROR(INDEX(書籍!$B$2:$B$2000,MATCH($B1903,書籍!$A$2:$A$2000,0)),"（沒建檔）"))</f>
        <v/>
      </c>
      <c r="F1903" s="9" t="str">
        <f aca="false">IF($A1903="","",IFERROR(INDEX(會員!$B$2:$B$2000,MATCH($A1903,會員!$A$2:$A$2000,0)),"（沒建檔）"))</f>
        <v/>
      </c>
      <c r="G1903" s="10" t="str">
        <f aca="false">IF($B1903="","",IF($D1903="","未還","已還"))</f>
        <v/>
      </c>
    </row>
    <row r="1904" customFormat="false" ht="15" hidden="false" customHeight="false" outlineLevel="0" collapsed="false">
      <c r="E1904" s="9" t="str">
        <f aca="false">IF($B1904="","",IFERROR(INDEX(書籍!$B$2:$B$2000,MATCH($B1904,書籍!$A$2:$A$2000,0)),"（沒建檔）"))</f>
        <v/>
      </c>
      <c r="F1904" s="9" t="str">
        <f aca="false">IF($A1904="","",IFERROR(INDEX(會員!$B$2:$B$2000,MATCH($A1904,會員!$A$2:$A$2000,0)),"（沒建檔）"))</f>
        <v/>
      </c>
      <c r="G1904" s="10" t="str">
        <f aca="false">IF($B1904="","",IF($D1904="","未還","已還"))</f>
        <v/>
      </c>
    </row>
    <row r="1905" customFormat="false" ht="15" hidden="false" customHeight="false" outlineLevel="0" collapsed="false">
      <c r="E1905" s="9" t="str">
        <f aca="false">IF($B1905="","",IFERROR(INDEX(書籍!$B$2:$B$2000,MATCH($B1905,書籍!$A$2:$A$2000,0)),"（沒建檔）"))</f>
        <v/>
      </c>
      <c r="F1905" s="9" t="str">
        <f aca="false">IF($A1905="","",IFERROR(INDEX(會員!$B$2:$B$2000,MATCH($A1905,會員!$A$2:$A$2000,0)),"（沒建檔）"))</f>
        <v/>
      </c>
      <c r="G1905" s="10" t="str">
        <f aca="false">IF($B1905="","",IF($D1905="","未還","已還"))</f>
        <v/>
      </c>
    </row>
    <row r="1906" customFormat="false" ht="15" hidden="false" customHeight="false" outlineLevel="0" collapsed="false">
      <c r="E1906" s="9" t="str">
        <f aca="false">IF($B1906="","",IFERROR(INDEX(書籍!$B$2:$B$2000,MATCH($B1906,書籍!$A$2:$A$2000,0)),"（沒建檔）"))</f>
        <v/>
      </c>
      <c r="F1906" s="9" t="str">
        <f aca="false">IF($A1906="","",IFERROR(INDEX(會員!$B$2:$B$2000,MATCH($A1906,會員!$A$2:$A$2000,0)),"（沒建檔）"))</f>
        <v/>
      </c>
      <c r="G1906" s="10" t="str">
        <f aca="false">IF($B1906="","",IF($D1906="","未還","已還"))</f>
        <v/>
      </c>
    </row>
    <row r="1907" customFormat="false" ht="15" hidden="false" customHeight="false" outlineLevel="0" collapsed="false">
      <c r="E1907" s="9" t="str">
        <f aca="false">IF($B1907="","",IFERROR(INDEX(書籍!$B$2:$B$2000,MATCH($B1907,書籍!$A$2:$A$2000,0)),"（沒建檔）"))</f>
        <v/>
      </c>
      <c r="F1907" s="9" t="str">
        <f aca="false">IF($A1907="","",IFERROR(INDEX(會員!$B$2:$B$2000,MATCH($A1907,會員!$A$2:$A$2000,0)),"（沒建檔）"))</f>
        <v/>
      </c>
      <c r="G1907" s="10" t="str">
        <f aca="false">IF($B1907="","",IF($D1907="","未還","已還"))</f>
        <v/>
      </c>
    </row>
    <row r="1908" customFormat="false" ht="15" hidden="false" customHeight="false" outlineLevel="0" collapsed="false">
      <c r="E1908" s="9" t="str">
        <f aca="false">IF($B1908="","",IFERROR(INDEX(書籍!$B$2:$B$2000,MATCH($B1908,書籍!$A$2:$A$2000,0)),"（沒建檔）"))</f>
        <v/>
      </c>
      <c r="F1908" s="9" t="str">
        <f aca="false">IF($A1908="","",IFERROR(INDEX(會員!$B$2:$B$2000,MATCH($A1908,會員!$A$2:$A$2000,0)),"（沒建檔）"))</f>
        <v/>
      </c>
      <c r="G1908" s="10" t="str">
        <f aca="false">IF($B1908="","",IF($D1908="","未還","已還"))</f>
        <v/>
      </c>
    </row>
    <row r="1909" customFormat="false" ht="15" hidden="false" customHeight="false" outlineLevel="0" collapsed="false">
      <c r="E1909" s="9" t="str">
        <f aca="false">IF($B1909="","",IFERROR(INDEX(書籍!$B$2:$B$2000,MATCH($B1909,書籍!$A$2:$A$2000,0)),"（沒建檔）"))</f>
        <v/>
      </c>
      <c r="F1909" s="9" t="str">
        <f aca="false">IF($A1909="","",IFERROR(INDEX(會員!$B$2:$B$2000,MATCH($A1909,會員!$A$2:$A$2000,0)),"（沒建檔）"))</f>
        <v/>
      </c>
      <c r="G1909" s="10" t="str">
        <f aca="false">IF($B1909="","",IF($D1909="","未還","已還"))</f>
        <v/>
      </c>
    </row>
    <row r="1910" customFormat="false" ht="15" hidden="false" customHeight="false" outlineLevel="0" collapsed="false">
      <c r="E1910" s="9" t="str">
        <f aca="false">IF($B1910="","",IFERROR(INDEX(書籍!$B$2:$B$2000,MATCH($B1910,書籍!$A$2:$A$2000,0)),"（沒建檔）"))</f>
        <v/>
      </c>
      <c r="F1910" s="9" t="str">
        <f aca="false">IF($A1910="","",IFERROR(INDEX(會員!$B$2:$B$2000,MATCH($A1910,會員!$A$2:$A$2000,0)),"（沒建檔）"))</f>
        <v/>
      </c>
      <c r="G1910" s="10" t="str">
        <f aca="false">IF($B1910="","",IF($D1910="","未還","已還"))</f>
        <v/>
      </c>
    </row>
    <row r="1911" customFormat="false" ht="15" hidden="false" customHeight="false" outlineLevel="0" collapsed="false">
      <c r="E1911" s="9" t="str">
        <f aca="false">IF($B1911="","",IFERROR(INDEX(書籍!$B$2:$B$2000,MATCH($B1911,書籍!$A$2:$A$2000,0)),"（沒建檔）"))</f>
        <v/>
      </c>
      <c r="F1911" s="9" t="str">
        <f aca="false">IF($A1911="","",IFERROR(INDEX(會員!$B$2:$B$2000,MATCH($A1911,會員!$A$2:$A$2000,0)),"（沒建檔）"))</f>
        <v/>
      </c>
      <c r="G1911" s="10" t="str">
        <f aca="false">IF($B1911="","",IF($D1911="","未還","已還"))</f>
        <v/>
      </c>
    </row>
    <row r="1912" customFormat="false" ht="15" hidden="false" customHeight="false" outlineLevel="0" collapsed="false">
      <c r="E1912" s="9" t="str">
        <f aca="false">IF($B1912="","",IFERROR(INDEX(書籍!$B$2:$B$2000,MATCH($B1912,書籍!$A$2:$A$2000,0)),"（沒建檔）"))</f>
        <v/>
      </c>
      <c r="F1912" s="9" t="str">
        <f aca="false">IF($A1912="","",IFERROR(INDEX(會員!$B$2:$B$2000,MATCH($A1912,會員!$A$2:$A$2000,0)),"（沒建檔）"))</f>
        <v/>
      </c>
      <c r="G1912" s="10" t="str">
        <f aca="false">IF($B1912="","",IF($D1912="","未還","已還"))</f>
        <v/>
      </c>
    </row>
    <row r="1913" customFormat="false" ht="15" hidden="false" customHeight="false" outlineLevel="0" collapsed="false">
      <c r="E1913" s="9" t="str">
        <f aca="false">IF($B1913="","",IFERROR(INDEX(書籍!$B$2:$B$2000,MATCH($B1913,書籍!$A$2:$A$2000,0)),"（沒建檔）"))</f>
        <v/>
      </c>
      <c r="F1913" s="9" t="str">
        <f aca="false">IF($A1913="","",IFERROR(INDEX(會員!$B$2:$B$2000,MATCH($A1913,會員!$A$2:$A$2000,0)),"（沒建檔）"))</f>
        <v/>
      </c>
      <c r="G1913" s="10" t="str">
        <f aca="false">IF($B1913="","",IF($D1913="","未還","已還"))</f>
        <v/>
      </c>
    </row>
    <row r="1914" customFormat="false" ht="15" hidden="false" customHeight="false" outlineLevel="0" collapsed="false">
      <c r="E1914" s="9" t="str">
        <f aca="false">IF($B1914="","",IFERROR(INDEX(書籍!$B$2:$B$2000,MATCH($B1914,書籍!$A$2:$A$2000,0)),"（沒建檔）"))</f>
        <v/>
      </c>
      <c r="F1914" s="9" t="str">
        <f aca="false">IF($A1914="","",IFERROR(INDEX(會員!$B$2:$B$2000,MATCH($A1914,會員!$A$2:$A$2000,0)),"（沒建檔）"))</f>
        <v/>
      </c>
      <c r="G1914" s="10" t="str">
        <f aca="false">IF($B1914="","",IF($D1914="","未還","已還"))</f>
        <v/>
      </c>
    </row>
    <row r="1915" customFormat="false" ht="15" hidden="false" customHeight="false" outlineLevel="0" collapsed="false">
      <c r="E1915" s="9" t="str">
        <f aca="false">IF($B1915="","",IFERROR(INDEX(書籍!$B$2:$B$2000,MATCH($B1915,書籍!$A$2:$A$2000,0)),"（沒建檔）"))</f>
        <v/>
      </c>
      <c r="F1915" s="9" t="str">
        <f aca="false">IF($A1915="","",IFERROR(INDEX(會員!$B$2:$B$2000,MATCH($A1915,會員!$A$2:$A$2000,0)),"（沒建檔）"))</f>
        <v/>
      </c>
      <c r="G1915" s="10" t="str">
        <f aca="false">IF($B1915="","",IF($D1915="","未還","已還"))</f>
        <v/>
      </c>
    </row>
    <row r="1916" customFormat="false" ht="15" hidden="false" customHeight="false" outlineLevel="0" collapsed="false">
      <c r="E1916" s="9" t="str">
        <f aca="false">IF($B1916="","",IFERROR(INDEX(書籍!$B$2:$B$2000,MATCH($B1916,書籍!$A$2:$A$2000,0)),"（沒建檔）"))</f>
        <v/>
      </c>
      <c r="F1916" s="9" t="str">
        <f aca="false">IF($A1916="","",IFERROR(INDEX(會員!$B$2:$B$2000,MATCH($A1916,會員!$A$2:$A$2000,0)),"（沒建檔）"))</f>
        <v/>
      </c>
      <c r="G1916" s="10" t="str">
        <f aca="false">IF($B1916="","",IF($D1916="","未還","已還"))</f>
        <v/>
      </c>
    </row>
    <row r="1917" customFormat="false" ht="15" hidden="false" customHeight="false" outlineLevel="0" collapsed="false">
      <c r="E1917" s="9" t="str">
        <f aca="false">IF($B1917="","",IFERROR(INDEX(書籍!$B$2:$B$2000,MATCH($B1917,書籍!$A$2:$A$2000,0)),"（沒建檔）"))</f>
        <v/>
      </c>
      <c r="F1917" s="9" t="str">
        <f aca="false">IF($A1917="","",IFERROR(INDEX(會員!$B$2:$B$2000,MATCH($A1917,會員!$A$2:$A$2000,0)),"（沒建檔）"))</f>
        <v/>
      </c>
      <c r="G1917" s="10" t="str">
        <f aca="false">IF($B1917="","",IF($D1917="","未還","已還"))</f>
        <v/>
      </c>
    </row>
    <row r="1918" customFormat="false" ht="15" hidden="false" customHeight="false" outlineLevel="0" collapsed="false">
      <c r="E1918" s="9" t="str">
        <f aca="false">IF($B1918="","",IFERROR(INDEX(書籍!$B$2:$B$2000,MATCH($B1918,書籍!$A$2:$A$2000,0)),"（沒建檔）"))</f>
        <v/>
      </c>
      <c r="F1918" s="9" t="str">
        <f aca="false">IF($A1918="","",IFERROR(INDEX(會員!$B$2:$B$2000,MATCH($A1918,會員!$A$2:$A$2000,0)),"（沒建檔）"))</f>
        <v/>
      </c>
      <c r="G1918" s="10" t="str">
        <f aca="false">IF($B1918="","",IF($D1918="","未還","已還"))</f>
        <v/>
      </c>
    </row>
    <row r="1919" customFormat="false" ht="15" hidden="false" customHeight="false" outlineLevel="0" collapsed="false">
      <c r="E1919" s="9" t="str">
        <f aca="false">IF($B1919="","",IFERROR(INDEX(書籍!$B$2:$B$2000,MATCH($B1919,書籍!$A$2:$A$2000,0)),"（沒建檔）"))</f>
        <v/>
      </c>
      <c r="F1919" s="9" t="str">
        <f aca="false">IF($A1919="","",IFERROR(INDEX(會員!$B$2:$B$2000,MATCH($A1919,會員!$A$2:$A$2000,0)),"（沒建檔）"))</f>
        <v/>
      </c>
      <c r="G1919" s="10" t="str">
        <f aca="false">IF($B1919="","",IF($D1919="","未還","已還"))</f>
        <v/>
      </c>
    </row>
    <row r="1920" customFormat="false" ht="15" hidden="false" customHeight="false" outlineLevel="0" collapsed="false">
      <c r="E1920" s="9" t="str">
        <f aca="false">IF($B1920="","",IFERROR(INDEX(書籍!$B$2:$B$2000,MATCH($B1920,書籍!$A$2:$A$2000,0)),"（沒建檔）"))</f>
        <v/>
      </c>
      <c r="F1920" s="9" t="str">
        <f aca="false">IF($A1920="","",IFERROR(INDEX(會員!$B$2:$B$2000,MATCH($A1920,會員!$A$2:$A$2000,0)),"（沒建檔）"))</f>
        <v/>
      </c>
      <c r="G1920" s="10" t="str">
        <f aca="false">IF($B1920="","",IF($D1920="","未還","已還"))</f>
        <v/>
      </c>
    </row>
    <row r="1921" customFormat="false" ht="15" hidden="false" customHeight="false" outlineLevel="0" collapsed="false">
      <c r="E1921" s="9" t="str">
        <f aca="false">IF($B1921="","",IFERROR(INDEX(書籍!$B$2:$B$2000,MATCH($B1921,書籍!$A$2:$A$2000,0)),"（沒建檔）"))</f>
        <v/>
      </c>
      <c r="F1921" s="9" t="str">
        <f aca="false">IF($A1921="","",IFERROR(INDEX(會員!$B$2:$B$2000,MATCH($A1921,會員!$A$2:$A$2000,0)),"（沒建檔）"))</f>
        <v/>
      </c>
      <c r="G1921" s="10" t="str">
        <f aca="false">IF($B1921="","",IF($D1921="","未還","已還"))</f>
        <v/>
      </c>
    </row>
    <row r="1922" customFormat="false" ht="15" hidden="false" customHeight="false" outlineLevel="0" collapsed="false">
      <c r="E1922" s="9" t="str">
        <f aca="false">IF($B1922="","",IFERROR(INDEX(書籍!$B$2:$B$2000,MATCH($B1922,書籍!$A$2:$A$2000,0)),"（沒建檔）"))</f>
        <v/>
      </c>
      <c r="F1922" s="9" t="str">
        <f aca="false">IF($A1922="","",IFERROR(INDEX(會員!$B$2:$B$2000,MATCH($A1922,會員!$A$2:$A$2000,0)),"（沒建檔）"))</f>
        <v/>
      </c>
      <c r="G1922" s="10" t="str">
        <f aca="false">IF($B1922="","",IF($D1922="","未還","已還"))</f>
        <v/>
      </c>
    </row>
    <row r="1923" customFormat="false" ht="15" hidden="false" customHeight="false" outlineLevel="0" collapsed="false">
      <c r="E1923" s="9" t="str">
        <f aca="false">IF($B1923="","",IFERROR(INDEX(書籍!$B$2:$B$2000,MATCH($B1923,書籍!$A$2:$A$2000,0)),"（沒建檔）"))</f>
        <v/>
      </c>
      <c r="F1923" s="9" t="str">
        <f aca="false">IF($A1923="","",IFERROR(INDEX(會員!$B$2:$B$2000,MATCH($A1923,會員!$A$2:$A$2000,0)),"（沒建檔）"))</f>
        <v/>
      </c>
      <c r="G1923" s="10" t="str">
        <f aca="false">IF($B1923="","",IF($D1923="","未還","已還"))</f>
        <v/>
      </c>
    </row>
    <row r="1924" customFormat="false" ht="15" hidden="false" customHeight="false" outlineLevel="0" collapsed="false">
      <c r="E1924" s="9" t="str">
        <f aca="false">IF($B1924="","",IFERROR(INDEX(書籍!$B$2:$B$2000,MATCH($B1924,書籍!$A$2:$A$2000,0)),"（沒建檔）"))</f>
        <v/>
      </c>
      <c r="F1924" s="9" t="str">
        <f aca="false">IF($A1924="","",IFERROR(INDEX(會員!$B$2:$B$2000,MATCH($A1924,會員!$A$2:$A$2000,0)),"（沒建檔）"))</f>
        <v/>
      </c>
      <c r="G1924" s="10" t="str">
        <f aca="false">IF($B1924="","",IF($D1924="","未還","已還"))</f>
        <v/>
      </c>
    </row>
    <row r="1925" customFormat="false" ht="15" hidden="false" customHeight="false" outlineLevel="0" collapsed="false">
      <c r="E1925" s="9" t="str">
        <f aca="false">IF($B1925="","",IFERROR(INDEX(書籍!$B$2:$B$2000,MATCH($B1925,書籍!$A$2:$A$2000,0)),"（沒建檔）"))</f>
        <v/>
      </c>
      <c r="F1925" s="9" t="str">
        <f aca="false">IF($A1925="","",IFERROR(INDEX(會員!$B$2:$B$2000,MATCH($A1925,會員!$A$2:$A$2000,0)),"（沒建檔）"))</f>
        <v/>
      </c>
      <c r="G1925" s="10" t="str">
        <f aca="false">IF($B1925="","",IF($D1925="","未還","已還"))</f>
        <v/>
      </c>
    </row>
    <row r="1926" customFormat="false" ht="15" hidden="false" customHeight="false" outlineLevel="0" collapsed="false">
      <c r="E1926" s="9" t="str">
        <f aca="false">IF($B1926="","",IFERROR(INDEX(書籍!$B$2:$B$2000,MATCH($B1926,書籍!$A$2:$A$2000,0)),"（沒建檔）"))</f>
        <v/>
      </c>
      <c r="F1926" s="9" t="str">
        <f aca="false">IF($A1926="","",IFERROR(INDEX(會員!$B$2:$B$2000,MATCH($A1926,會員!$A$2:$A$2000,0)),"（沒建檔）"))</f>
        <v/>
      </c>
      <c r="G1926" s="10" t="str">
        <f aca="false">IF($B1926="","",IF($D1926="","未還","已還"))</f>
        <v/>
      </c>
    </row>
    <row r="1927" customFormat="false" ht="15" hidden="false" customHeight="false" outlineLevel="0" collapsed="false">
      <c r="E1927" s="9" t="str">
        <f aca="false">IF($B1927="","",IFERROR(INDEX(書籍!$B$2:$B$2000,MATCH($B1927,書籍!$A$2:$A$2000,0)),"（沒建檔）"))</f>
        <v/>
      </c>
      <c r="F1927" s="9" t="str">
        <f aca="false">IF($A1927="","",IFERROR(INDEX(會員!$B$2:$B$2000,MATCH($A1927,會員!$A$2:$A$2000,0)),"（沒建檔）"))</f>
        <v/>
      </c>
      <c r="G1927" s="10" t="str">
        <f aca="false">IF($B1927="","",IF($D1927="","未還","已還"))</f>
        <v/>
      </c>
    </row>
    <row r="1928" customFormat="false" ht="15" hidden="false" customHeight="false" outlineLevel="0" collapsed="false">
      <c r="E1928" s="9" t="str">
        <f aca="false">IF($B1928="","",IFERROR(INDEX(書籍!$B$2:$B$2000,MATCH($B1928,書籍!$A$2:$A$2000,0)),"（沒建檔）"))</f>
        <v/>
      </c>
      <c r="F1928" s="9" t="str">
        <f aca="false">IF($A1928="","",IFERROR(INDEX(會員!$B$2:$B$2000,MATCH($A1928,會員!$A$2:$A$2000,0)),"（沒建檔）"))</f>
        <v/>
      </c>
      <c r="G1928" s="10" t="str">
        <f aca="false">IF($B1928="","",IF($D1928="","未還","已還"))</f>
        <v/>
      </c>
    </row>
    <row r="1929" customFormat="false" ht="15" hidden="false" customHeight="false" outlineLevel="0" collapsed="false">
      <c r="E1929" s="9" t="str">
        <f aca="false">IF($B1929="","",IFERROR(INDEX(書籍!$B$2:$B$2000,MATCH($B1929,書籍!$A$2:$A$2000,0)),"（沒建檔）"))</f>
        <v/>
      </c>
      <c r="F1929" s="9" t="str">
        <f aca="false">IF($A1929="","",IFERROR(INDEX(會員!$B$2:$B$2000,MATCH($A1929,會員!$A$2:$A$2000,0)),"（沒建檔）"))</f>
        <v/>
      </c>
      <c r="G1929" s="10" t="str">
        <f aca="false">IF($B1929="","",IF($D1929="","未還","已還"))</f>
        <v/>
      </c>
    </row>
    <row r="1930" customFormat="false" ht="15" hidden="false" customHeight="false" outlineLevel="0" collapsed="false">
      <c r="E1930" s="9" t="str">
        <f aca="false">IF($B1930="","",IFERROR(INDEX(書籍!$B$2:$B$2000,MATCH($B1930,書籍!$A$2:$A$2000,0)),"（沒建檔）"))</f>
        <v/>
      </c>
      <c r="F1930" s="9" t="str">
        <f aca="false">IF($A1930="","",IFERROR(INDEX(會員!$B$2:$B$2000,MATCH($A1930,會員!$A$2:$A$2000,0)),"（沒建檔）"))</f>
        <v/>
      </c>
      <c r="G1930" s="10" t="str">
        <f aca="false">IF($B1930="","",IF($D1930="","未還","已還"))</f>
        <v/>
      </c>
    </row>
    <row r="1931" customFormat="false" ht="15" hidden="false" customHeight="false" outlineLevel="0" collapsed="false">
      <c r="E1931" s="9" t="str">
        <f aca="false">IF($B1931="","",IFERROR(INDEX(書籍!$B$2:$B$2000,MATCH($B1931,書籍!$A$2:$A$2000,0)),"（沒建檔）"))</f>
        <v/>
      </c>
      <c r="F1931" s="9" t="str">
        <f aca="false">IF($A1931="","",IFERROR(INDEX(會員!$B$2:$B$2000,MATCH($A1931,會員!$A$2:$A$2000,0)),"（沒建檔）"))</f>
        <v/>
      </c>
      <c r="G1931" s="10" t="str">
        <f aca="false">IF($B1931="","",IF($D1931="","未還","已還"))</f>
        <v/>
      </c>
    </row>
    <row r="1932" customFormat="false" ht="15" hidden="false" customHeight="false" outlineLevel="0" collapsed="false">
      <c r="E1932" s="9" t="str">
        <f aca="false">IF($B1932="","",IFERROR(INDEX(書籍!$B$2:$B$2000,MATCH($B1932,書籍!$A$2:$A$2000,0)),"（沒建檔）"))</f>
        <v/>
      </c>
      <c r="F1932" s="9" t="str">
        <f aca="false">IF($A1932="","",IFERROR(INDEX(會員!$B$2:$B$2000,MATCH($A1932,會員!$A$2:$A$2000,0)),"（沒建檔）"))</f>
        <v/>
      </c>
      <c r="G1932" s="10" t="str">
        <f aca="false">IF($B1932="","",IF($D1932="","未還","已還"))</f>
        <v/>
      </c>
    </row>
    <row r="1933" customFormat="false" ht="15" hidden="false" customHeight="false" outlineLevel="0" collapsed="false">
      <c r="E1933" s="9" t="str">
        <f aca="false">IF($B1933="","",IFERROR(INDEX(書籍!$B$2:$B$2000,MATCH($B1933,書籍!$A$2:$A$2000,0)),"（沒建檔）"))</f>
        <v/>
      </c>
      <c r="F1933" s="9" t="str">
        <f aca="false">IF($A1933="","",IFERROR(INDEX(會員!$B$2:$B$2000,MATCH($A1933,會員!$A$2:$A$2000,0)),"（沒建檔）"))</f>
        <v/>
      </c>
      <c r="G1933" s="10" t="str">
        <f aca="false">IF($B1933="","",IF($D1933="","未還","已還"))</f>
        <v/>
      </c>
    </row>
    <row r="1934" customFormat="false" ht="15" hidden="false" customHeight="false" outlineLevel="0" collapsed="false">
      <c r="E1934" s="9" t="str">
        <f aca="false">IF($B1934="","",IFERROR(INDEX(書籍!$B$2:$B$2000,MATCH($B1934,書籍!$A$2:$A$2000,0)),"（沒建檔）"))</f>
        <v/>
      </c>
      <c r="F1934" s="9" t="str">
        <f aca="false">IF($A1934="","",IFERROR(INDEX(會員!$B$2:$B$2000,MATCH($A1934,會員!$A$2:$A$2000,0)),"（沒建檔）"))</f>
        <v/>
      </c>
      <c r="G1934" s="10" t="str">
        <f aca="false">IF($B1934="","",IF($D1934="","未還","已還"))</f>
        <v/>
      </c>
    </row>
    <row r="1935" customFormat="false" ht="15" hidden="false" customHeight="false" outlineLevel="0" collapsed="false">
      <c r="E1935" s="9" t="str">
        <f aca="false">IF($B1935="","",IFERROR(INDEX(書籍!$B$2:$B$2000,MATCH($B1935,書籍!$A$2:$A$2000,0)),"（沒建檔）"))</f>
        <v/>
      </c>
      <c r="F1935" s="9" t="str">
        <f aca="false">IF($A1935="","",IFERROR(INDEX(會員!$B$2:$B$2000,MATCH($A1935,會員!$A$2:$A$2000,0)),"（沒建檔）"))</f>
        <v/>
      </c>
      <c r="G1935" s="10" t="str">
        <f aca="false">IF($B1935="","",IF($D1935="","未還","已還"))</f>
        <v/>
      </c>
    </row>
    <row r="1936" customFormat="false" ht="15" hidden="false" customHeight="false" outlineLevel="0" collapsed="false">
      <c r="E1936" s="9" t="str">
        <f aca="false">IF($B1936="","",IFERROR(INDEX(書籍!$B$2:$B$2000,MATCH($B1936,書籍!$A$2:$A$2000,0)),"（沒建檔）"))</f>
        <v/>
      </c>
      <c r="F1936" s="9" t="str">
        <f aca="false">IF($A1936="","",IFERROR(INDEX(會員!$B$2:$B$2000,MATCH($A1936,會員!$A$2:$A$2000,0)),"（沒建檔）"))</f>
        <v/>
      </c>
      <c r="G1936" s="10" t="str">
        <f aca="false">IF($B1936="","",IF($D1936="","未還","已還"))</f>
        <v/>
      </c>
    </row>
    <row r="1937" customFormat="false" ht="15" hidden="false" customHeight="false" outlineLevel="0" collapsed="false">
      <c r="E1937" s="9" t="str">
        <f aca="false">IF($B1937="","",IFERROR(INDEX(書籍!$B$2:$B$2000,MATCH($B1937,書籍!$A$2:$A$2000,0)),"（沒建檔）"))</f>
        <v/>
      </c>
      <c r="F1937" s="9" t="str">
        <f aca="false">IF($A1937="","",IFERROR(INDEX(會員!$B$2:$B$2000,MATCH($A1937,會員!$A$2:$A$2000,0)),"（沒建檔）"))</f>
        <v/>
      </c>
      <c r="G1937" s="10" t="str">
        <f aca="false">IF($B1937="","",IF($D1937="","未還","已還"))</f>
        <v/>
      </c>
    </row>
    <row r="1938" customFormat="false" ht="15" hidden="false" customHeight="false" outlineLevel="0" collapsed="false">
      <c r="E1938" s="9" t="str">
        <f aca="false">IF($B1938="","",IFERROR(INDEX(書籍!$B$2:$B$2000,MATCH($B1938,書籍!$A$2:$A$2000,0)),"（沒建檔）"))</f>
        <v/>
      </c>
      <c r="F1938" s="9" t="str">
        <f aca="false">IF($A1938="","",IFERROR(INDEX(會員!$B$2:$B$2000,MATCH($A1938,會員!$A$2:$A$2000,0)),"（沒建檔）"))</f>
        <v/>
      </c>
      <c r="G1938" s="10" t="str">
        <f aca="false">IF($B1938="","",IF($D1938="","未還","已還"))</f>
        <v/>
      </c>
    </row>
    <row r="1939" customFormat="false" ht="15" hidden="false" customHeight="false" outlineLevel="0" collapsed="false">
      <c r="E1939" s="9" t="str">
        <f aca="false">IF($B1939="","",IFERROR(INDEX(書籍!$B$2:$B$2000,MATCH($B1939,書籍!$A$2:$A$2000,0)),"（沒建檔）"))</f>
        <v/>
      </c>
      <c r="F1939" s="9" t="str">
        <f aca="false">IF($A1939="","",IFERROR(INDEX(會員!$B$2:$B$2000,MATCH($A1939,會員!$A$2:$A$2000,0)),"（沒建檔）"))</f>
        <v/>
      </c>
      <c r="G1939" s="10" t="str">
        <f aca="false">IF($B1939="","",IF($D1939="","未還","已還"))</f>
        <v/>
      </c>
    </row>
    <row r="1940" customFormat="false" ht="15" hidden="false" customHeight="false" outlineLevel="0" collapsed="false">
      <c r="E1940" s="9" t="str">
        <f aca="false">IF($B1940="","",IFERROR(INDEX(書籍!$B$2:$B$2000,MATCH($B1940,書籍!$A$2:$A$2000,0)),"（沒建檔）"))</f>
        <v/>
      </c>
      <c r="F1940" s="9" t="str">
        <f aca="false">IF($A1940="","",IFERROR(INDEX(會員!$B$2:$B$2000,MATCH($A1940,會員!$A$2:$A$2000,0)),"（沒建檔）"))</f>
        <v/>
      </c>
      <c r="G1940" s="10" t="str">
        <f aca="false">IF($B1940="","",IF($D1940="","未還","已還"))</f>
        <v/>
      </c>
    </row>
    <row r="1941" customFormat="false" ht="15" hidden="false" customHeight="false" outlineLevel="0" collapsed="false">
      <c r="E1941" s="9" t="str">
        <f aca="false">IF($B1941="","",IFERROR(INDEX(書籍!$B$2:$B$2000,MATCH($B1941,書籍!$A$2:$A$2000,0)),"（沒建檔）"))</f>
        <v/>
      </c>
      <c r="F1941" s="9" t="str">
        <f aca="false">IF($A1941="","",IFERROR(INDEX(會員!$B$2:$B$2000,MATCH($A1941,會員!$A$2:$A$2000,0)),"（沒建檔）"))</f>
        <v/>
      </c>
      <c r="G1941" s="10" t="str">
        <f aca="false">IF($B1941="","",IF($D1941="","未還","已還"))</f>
        <v/>
      </c>
    </row>
    <row r="1942" customFormat="false" ht="15" hidden="false" customHeight="false" outlineLevel="0" collapsed="false">
      <c r="E1942" s="9" t="str">
        <f aca="false">IF($B1942="","",IFERROR(INDEX(書籍!$B$2:$B$2000,MATCH($B1942,書籍!$A$2:$A$2000,0)),"（沒建檔）"))</f>
        <v/>
      </c>
      <c r="F1942" s="9" t="str">
        <f aca="false">IF($A1942="","",IFERROR(INDEX(會員!$B$2:$B$2000,MATCH($A1942,會員!$A$2:$A$2000,0)),"（沒建檔）"))</f>
        <v/>
      </c>
      <c r="G1942" s="10" t="str">
        <f aca="false">IF($B1942="","",IF($D1942="","未還","已還"))</f>
        <v/>
      </c>
    </row>
    <row r="1943" customFormat="false" ht="15" hidden="false" customHeight="false" outlineLevel="0" collapsed="false">
      <c r="E1943" s="9" t="str">
        <f aca="false">IF($B1943="","",IFERROR(INDEX(書籍!$B$2:$B$2000,MATCH($B1943,書籍!$A$2:$A$2000,0)),"（沒建檔）"))</f>
        <v/>
      </c>
      <c r="F1943" s="9" t="str">
        <f aca="false">IF($A1943="","",IFERROR(INDEX(會員!$B$2:$B$2000,MATCH($A1943,會員!$A$2:$A$2000,0)),"（沒建檔）"))</f>
        <v/>
      </c>
      <c r="G1943" s="10" t="str">
        <f aca="false">IF($B1943="","",IF($D1943="","未還","已還"))</f>
        <v/>
      </c>
    </row>
    <row r="1944" customFormat="false" ht="15" hidden="false" customHeight="false" outlineLevel="0" collapsed="false">
      <c r="E1944" s="9" t="str">
        <f aca="false">IF($B1944="","",IFERROR(INDEX(書籍!$B$2:$B$2000,MATCH($B1944,書籍!$A$2:$A$2000,0)),"（沒建檔）"))</f>
        <v/>
      </c>
      <c r="F1944" s="9" t="str">
        <f aca="false">IF($A1944="","",IFERROR(INDEX(會員!$B$2:$B$2000,MATCH($A1944,會員!$A$2:$A$2000,0)),"（沒建檔）"))</f>
        <v/>
      </c>
      <c r="G1944" s="10" t="str">
        <f aca="false">IF($B1944="","",IF($D1944="","未還","已還"))</f>
        <v/>
      </c>
    </row>
    <row r="1945" customFormat="false" ht="15" hidden="false" customHeight="false" outlineLevel="0" collapsed="false">
      <c r="E1945" s="9" t="str">
        <f aca="false">IF($B1945="","",IFERROR(INDEX(書籍!$B$2:$B$2000,MATCH($B1945,書籍!$A$2:$A$2000,0)),"（沒建檔）"))</f>
        <v/>
      </c>
      <c r="F1945" s="9" t="str">
        <f aca="false">IF($A1945="","",IFERROR(INDEX(會員!$B$2:$B$2000,MATCH($A1945,會員!$A$2:$A$2000,0)),"（沒建檔）"))</f>
        <v/>
      </c>
      <c r="G1945" s="10" t="str">
        <f aca="false">IF($B1945="","",IF($D1945="","未還","已還"))</f>
        <v/>
      </c>
    </row>
    <row r="1946" customFormat="false" ht="15" hidden="false" customHeight="false" outlineLevel="0" collapsed="false">
      <c r="E1946" s="9" t="str">
        <f aca="false">IF($B1946="","",IFERROR(INDEX(書籍!$B$2:$B$2000,MATCH($B1946,書籍!$A$2:$A$2000,0)),"（沒建檔）"))</f>
        <v/>
      </c>
      <c r="F1946" s="9" t="str">
        <f aca="false">IF($A1946="","",IFERROR(INDEX(會員!$B$2:$B$2000,MATCH($A1946,會員!$A$2:$A$2000,0)),"（沒建檔）"))</f>
        <v/>
      </c>
      <c r="G1946" s="10" t="str">
        <f aca="false">IF($B1946="","",IF($D1946="","未還","已還"))</f>
        <v/>
      </c>
    </row>
    <row r="1947" customFormat="false" ht="15" hidden="false" customHeight="false" outlineLevel="0" collapsed="false">
      <c r="E1947" s="9" t="str">
        <f aca="false">IF($B1947="","",IFERROR(INDEX(書籍!$B$2:$B$2000,MATCH($B1947,書籍!$A$2:$A$2000,0)),"（沒建檔）"))</f>
        <v/>
      </c>
      <c r="F1947" s="9" t="str">
        <f aca="false">IF($A1947="","",IFERROR(INDEX(會員!$B$2:$B$2000,MATCH($A1947,會員!$A$2:$A$2000,0)),"（沒建檔）"))</f>
        <v/>
      </c>
      <c r="G1947" s="10" t="str">
        <f aca="false">IF($B1947="","",IF($D1947="","未還","已還"))</f>
        <v/>
      </c>
    </row>
    <row r="1948" customFormat="false" ht="15" hidden="false" customHeight="false" outlineLevel="0" collapsed="false">
      <c r="E1948" s="9" t="str">
        <f aca="false">IF($B1948="","",IFERROR(INDEX(書籍!$B$2:$B$2000,MATCH($B1948,書籍!$A$2:$A$2000,0)),"（沒建檔）"))</f>
        <v/>
      </c>
      <c r="F1948" s="9" t="str">
        <f aca="false">IF($A1948="","",IFERROR(INDEX(會員!$B$2:$B$2000,MATCH($A1948,會員!$A$2:$A$2000,0)),"（沒建檔）"))</f>
        <v/>
      </c>
      <c r="G1948" s="10" t="str">
        <f aca="false">IF($B1948="","",IF($D1948="","未還","已還"))</f>
        <v/>
      </c>
    </row>
    <row r="1949" customFormat="false" ht="15" hidden="false" customHeight="false" outlineLevel="0" collapsed="false">
      <c r="E1949" s="9" t="str">
        <f aca="false">IF($B1949="","",IFERROR(INDEX(書籍!$B$2:$B$2000,MATCH($B1949,書籍!$A$2:$A$2000,0)),"（沒建檔）"))</f>
        <v/>
      </c>
      <c r="F1949" s="9" t="str">
        <f aca="false">IF($A1949="","",IFERROR(INDEX(會員!$B$2:$B$2000,MATCH($A1949,會員!$A$2:$A$2000,0)),"（沒建檔）"))</f>
        <v/>
      </c>
      <c r="G1949" s="10" t="str">
        <f aca="false">IF($B1949="","",IF($D1949="","未還","已還"))</f>
        <v/>
      </c>
    </row>
    <row r="1950" customFormat="false" ht="15" hidden="false" customHeight="false" outlineLevel="0" collapsed="false">
      <c r="E1950" s="9" t="str">
        <f aca="false">IF($B1950="","",IFERROR(INDEX(書籍!$B$2:$B$2000,MATCH($B1950,書籍!$A$2:$A$2000,0)),"（沒建檔）"))</f>
        <v/>
      </c>
      <c r="F1950" s="9" t="str">
        <f aca="false">IF($A1950="","",IFERROR(INDEX(會員!$B$2:$B$2000,MATCH($A1950,會員!$A$2:$A$2000,0)),"（沒建檔）"))</f>
        <v/>
      </c>
      <c r="G1950" s="10" t="str">
        <f aca="false">IF($B1950="","",IF($D1950="","未還","已還"))</f>
        <v/>
      </c>
    </row>
    <row r="1951" customFormat="false" ht="15" hidden="false" customHeight="false" outlineLevel="0" collapsed="false">
      <c r="E1951" s="9" t="str">
        <f aca="false">IF($B1951="","",IFERROR(INDEX(書籍!$B$2:$B$2000,MATCH($B1951,書籍!$A$2:$A$2000,0)),"（沒建檔）"))</f>
        <v/>
      </c>
      <c r="F1951" s="9" t="str">
        <f aca="false">IF($A1951="","",IFERROR(INDEX(會員!$B$2:$B$2000,MATCH($A1951,會員!$A$2:$A$2000,0)),"（沒建檔）"))</f>
        <v/>
      </c>
      <c r="G1951" s="10" t="str">
        <f aca="false">IF($B1951="","",IF($D1951="","未還","已還"))</f>
        <v/>
      </c>
    </row>
    <row r="1952" customFormat="false" ht="15" hidden="false" customHeight="false" outlineLevel="0" collapsed="false">
      <c r="E1952" s="9" t="str">
        <f aca="false">IF($B1952="","",IFERROR(INDEX(書籍!$B$2:$B$2000,MATCH($B1952,書籍!$A$2:$A$2000,0)),"（沒建檔）"))</f>
        <v/>
      </c>
      <c r="F1952" s="9" t="str">
        <f aca="false">IF($A1952="","",IFERROR(INDEX(會員!$B$2:$B$2000,MATCH($A1952,會員!$A$2:$A$2000,0)),"（沒建檔）"))</f>
        <v/>
      </c>
      <c r="G1952" s="10" t="str">
        <f aca="false">IF($B1952="","",IF($D1952="","未還","已還"))</f>
        <v/>
      </c>
    </row>
    <row r="1953" customFormat="false" ht="15" hidden="false" customHeight="false" outlineLevel="0" collapsed="false">
      <c r="E1953" s="9" t="str">
        <f aca="false">IF($B1953="","",IFERROR(INDEX(書籍!$B$2:$B$2000,MATCH($B1953,書籍!$A$2:$A$2000,0)),"（沒建檔）"))</f>
        <v/>
      </c>
      <c r="F1953" s="9" t="str">
        <f aca="false">IF($A1953="","",IFERROR(INDEX(會員!$B$2:$B$2000,MATCH($A1953,會員!$A$2:$A$2000,0)),"（沒建檔）"))</f>
        <v/>
      </c>
      <c r="G1953" s="10" t="str">
        <f aca="false">IF($B1953="","",IF($D1953="","未還","已還"))</f>
        <v/>
      </c>
    </row>
    <row r="1954" customFormat="false" ht="15" hidden="false" customHeight="false" outlineLevel="0" collapsed="false">
      <c r="E1954" s="9" t="str">
        <f aca="false">IF($B1954="","",IFERROR(INDEX(書籍!$B$2:$B$2000,MATCH($B1954,書籍!$A$2:$A$2000,0)),"（沒建檔）"))</f>
        <v/>
      </c>
      <c r="F1954" s="9" t="str">
        <f aca="false">IF($A1954="","",IFERROR(INDEX(會員!$B$2:$B$2000,MATCH($A1954,會員!$A$2:$A$2000,0)),"（沒建檔）"))</f>
        <v/>
      </c>
      <c r="G1954" s="10" t="str">
        <f aca="false">IF($B1954="","",IF($D1954="","未還","已還"))</f>
        <v/>
      </c>
    </row>
    <row r="1955" customFormat="false" ht="15" hidden="false" customHeight="false" outlineLevel="0" collapsed="false">
      <c r="E1955" s="9" t="str">
        <f aca="false">IF($B1955="","",IFERROR(INDEX(書籍!$B$2:$B$2000,MATCH($B1955,書籍!$A$2:$A$2000,0)),"（沒建檔）"))</f>
        <v/>
      </c>
      <c r="F1955" s="9" t="str">
        <f aca="false">IF($A1955="","",IFERROR(INDEX(會員!$B$2:$B$2000,MATCH($A1955,會員!$A$2:$A$2000,0)),"（沒建檔）"))</f>
        <v/>
      </c>
      <c r="G1955" s="10" t="str">
        <f aca="false">IF($B1955="","",IF($D1955="","未還","已還"))</f>
        <v/>
      </c>
    </row>
    <row r="1956" customFormat="false" ht="15" hidden="false" customHeight="false" outlineLevel="0" collapsed="false">
      <c r="E1956" s="9" t="str">
        <f aca="false">IF($B1956="","",IFERROR(INDEX(書籍!$B$2:$B$2000,MATCH($B1956,書籍!$A$2:$A$2000,0)),"（沒建檔）"))</f>
        <v/>
      </c>
      <c r="F1956" s="9" t="str">
        <f aca="false">IF($A1956="","",IFERROR(INDEX(會員!$B$2:$B$2000,MATCH($A1956,會員!$A$2:$A$2000,0)),"（沒建檔）"))</f>
        <v/>
      </c>
      <c r="G1956" s="10" t="str">
        <f aca="false">IF($B1956="","",IF($D1956="","未還","已還"))</f>
        <v/>
      </c>
    </row>
    <row r="1957" customFormat="false" ht="15" hidden="false" customHeight="false" outlineLevel="0" collapsed="false">
      <c r="E1957" s="9" t="str">
        <f aca="false">IF($B1957="","",IFERROR(INDEX(書籍!$B$2:$B$2000,MATCH($B1957,書籍!$A$2:$A$2000,0)),"（沒建檔）"))</f>
        <v/>
      </c>
      <c r="F1957" s="9" t="str">
        <f aca="false">IF($A1957="","",IFERROR(INDEX(會員!$B$2:$B$2000,MATCH($A1957,會員!$A$2:$A$2000,0)),"（沒建檔）"))</f>
        <v/>
      </c>
      <c r="G1957" s="10" t="str">
        <f aca="false">IF($B1957="","",IF($D1957="","未還","已還"))</f>
        <v/>
      </c>
    </row>
    <row r="1958" customFormat="false" ht="15" hidden="false" customHeight="false" outlineLevel="0" collapsed="false">
      <c r="E1958" s="9" t="str">
        <f aca="false">IF($B1958="","",IFERROR(INDEX(書籍!$B$2:$B$2000,MATCH($B1958,書籍!$A$2:$A$2000,0)),"（沒建檔）"))</f>
        <v/>
      </c>
      <c r="F1958" s="9" t="str">
        <f aca="false">IF($A1958="","",IFERROR(INDEX(會員!$B$2:$B$2000,MATCH($A1958,會員!$A$2:$A$2000,0)),"（沒建檔）"))</f>
        <v/>
      </c>
      <c r="G1958" s="10" t="str">
        <f aca="false">IF($B1958="","",IF($D1958="","未還","已還"))</f>
        <v/>
      </c>
    </row>
    <row r="1959" customFormat="false" ht="15" hidden="false" customHeight="false" outlineLevel="0" collapsed="false">
      <c r="E1959" s="9" t="str">
        <f aca="false">IF($B1959="","",IFERROR(INDEX(書籍!$B$2:$B$2000,MATCH($B1959,書籍!$A$2:$A$2000,0)),"（沒建檔）"))</f>
        <v/>
      </c>
      <c r="F1959" s="9" t="str">
        <f aca="false">IF($A1959="","",IFERROR(INDEX(會員!$B$2:$B$2000,MATCH($A1959,會員!$A$2:$A$2000,0)),"（沒建檔）"))</f>
        <v/>
      </c>
      <c r="G1959" s="10" t="str">
        <f aca="false">IF($B1959="","",IF($D1959="","未還","已還"))</f>
        <v/>
      </c>
    </row>
    <row r="1960" customFormat="false" ht="15" hidden="false" customHeight="false" outlineLevel="0" collapsed="false">
      <c r="E1960" s="9" t="str">
        <f aca="false">IF($B1960="","",IFERROR(INDEX(書籍!$B$2:$B$2000,MATCH($B1960,書籍!$A$2:$A$2000,0)),"（沒建檔）"))</f>
        <v/>
      </c>
      <c r="F1960" s="9" t="str">
        <f aca="false">IF($A1960="","",IFERROR(INDEX(會員!$B$2:$B$2000,MATCH($A1960,會員!$A$2:$A$2000,0)),"（沒建檔）"))</f>
        <v/>
      </c>
      <c r="G1960" s="10" t="str">
        <f aca="false">IF($B1960="","",IF($D1960="","未還","已還"))</f>
        <v/>
      </c>
    </row>
    <row r="1961" customFormat="false" ht="15" hidden="false" customHeight="false" outlineLevel="0" collapsed="false">
      <c r="E1961" s="9" t="str">
        <f aca="false">IF($B1961="","",IFERROR(INDEX(書籍!$B$2:$B$2000,MATCH($B1961,書籍!$A$2:$A$2000,0)),"（沒建檔）"))</f>
        <v/>
      </c>
      <c r="F1961" s="9" t="str">
        <f aca="false">IF($A1961="","",IFERROR(INDEX(會員!$B$2:$B$2000,MATCH($A1961,會員!$A$2:$A$2000,0)),"（沒建檔）"))</f>
        <v/>
      </c>
      <c r="G1961" s="10" t="str">
        <f aca="false">IF($B1961="","",IF($D1961="","未還","已還"))</f>
        <v/>
      </c>
    </row>
    <row r="1962" customFormat="false" ht="15" hidden="false" customHeight="false" outlineLevel="0" collapsed="false">
      <c r="E1962" s="9" t="str">
        <f aca="false">IF($B1962="","",IFERROR(INDEX(書籍!$B$2:$B$2000,MATCH($B1962,書籍!$A$2:$A$2000,0)),"（沒建檔）"))</f>
        <v/>
      </c>
      <c r="F1962" s="9" t="str">
        <f aca="false">IF($A1962="","",IFERROR(INDEX(會員!$B$2:$B$2000,MATCH($A1962,會員!$A$2:$A$2000,0)),"（沒建檔）"))</f>
        <v/>
      </c>
      <c r="G1962" s="10" t="str">
        <f aca="false">IF($B1962="","",IF($D1962="","未還","已還"))</f>
        <v/>
      </c>
    </row>
    <row r="1963" customFormat="false" ht="15" hidden="false" customHeight="false" outlineLevel="0" collapsed="false">
      <c r="E1963" s="9" t="str">
        <f aca="false">IF($B1963="","",IFERROR(INDEX(書籍!$B$2:$B$2000,MATCH($B1963,書籍!$A$2:$A$2000,0)),"（沒建檔）"))</f>
        <v/>
      </c>
      <c r="F1963" s="9" t="str">
        <f aca="false">IF($A1963="","",IFERROR(INDEX(會員!$B$2:$B$2000,MATCH($A1963,會員!$A$2:$A$2000,0)),"（沒建檔）"))</f>
        <v/>
      </c>
      <c r="G1963" s="10" t="str">
        <f aca="false">IF($B1963="","",IF($D1963="","未還","已還"))</f>
        <v/>
      </c>
    </row>
    <row r="1964" customFormat="false" ht="15" hidden="false" customHeight="false" outlineLevel="0" collapsed="false">
      <c r="E1964" s="9" t="str">
        <f aca="false">IF($B1964="","",IFERROR(INDEX(書籍!$B$2:$B$2000,MATCH($B1964,書籍!$A$2:$A$2000,0)),"（沒建檔）"))</f>
        <v/>
      </c>
      <c r="F1964" s="9" t="str">
        <f aca="false">IF($A1964="","",IFERROR(INDEX(會員!$B$2:$B$2000,MATCH($A1964,會員!$A$2:$A$2000,0)),"（沒建檔）"))</f>
        <v/>
      </c>
      <c r="G1964" s="10" t="str">
        <f aca="false">IF($B1964="","",IF($D1964="","未還","已還"))</f>
        <v/>
      </c>
    </row>
    <row r="1965" customFormat="false" ht="15" hidden="false" customHeight="false" outlineLevel="0" collapsed="false">
      <c r="E1965" s="9" t="str">
        <f aca="false">IF($B1965="","",IFERROR(INDEX(書籍!$B$2:$B$2000,MATCH($B1965,書籍!$A$2:$A$2000,0)),"（沒建檔）"))</f>
        <v/>
      </c>
      <c r="F1965" s="9" t="str">
        <f aca="false">IF($A1965="","",IFERROR(INDEX(會員!$B$2:$B$2000,MATCH($A1965,會員!$A$2:$A$2000,0)),"（沒建檔）"))</f>
        <v/>
      </c>
      <c r="G1965" s="10" t="str">
        <f aca="false">IF($B1965="","",IF($D1965="","未還","已還"))</f>
        <v/>
      </c>
    </row>
    <row r="1966" customFormat="false" ht="15" hidden="false" customHeight="false" outlineLevel="0" collapsed="false">
      <c r="E1966" s="9" t="str">
        <f aca="false">IF($B1966="","",IFERROR(INDEX(書籍!$B$2:$B$2000,MATCH($B1966,書籍!$A$2:$A$2000,0)),"（沒建檔）"))</f>
        <v/>
      </c>
      <c r="F1966" s="9" t="str">
        <f aca="false">IF($A1966="","",IFERROR(INDEX(會員!$B$2:$B$2000,MATCH($A1966,會員!$A$2:$A$2000,0)),"（沒建檔）"))</f>
        <v/>
      </c>
      <c r="G1966" s="10" t="str">
        <f aca="false">IF($B1966="","",IF($D1966="","未還","已還"))</f>
        <v/>
      </c>
    </row>
    <row r="1967" customFormat="false" ht="15" hidden="false" customHeight="false" outlineLevel="0" collapsed="false">
      <c r="E1967" s="9" t="str">
        <f aca="false">IF($B1967="","",IFERROR(INDEX(書籍!$B$2:$B$2000,MATCH($B1967,書籍!$A$2:$A$2000,0)),"（沒建檔）"))</f>
        <v/>
      </c>
      <c r="F1967" s="9" t="str">
        <f aca="false">IF($A1967="","",IFERROR(INDEX(會員!$B$2:$B$2000,MATCH($A1967,會員!$A$2:$A$2000,0)),"（沒建檔）"))</f>
        <v/>
      </c>
      <c r="G1967" s="10" t="str">
        <f aca="false">IF($B1967="","",IF($D1967="","未還","已還"))</f>
        <v/>
      </c>
    </row>
    <row r="1968" customFormat="false" ht="15" hidden="false" customHeight="false" outlineLevel="0" collapsed="false">
      <c r="E1968" s="9" t="str">
        <f aca="false">IF($B1968="","",IFERROR(INDEX(書籍!$B$2:$B$2000,MATCH($B1968,書籍!$A$2:$A$2000,0)),"（沒建檔）"))</f>
        <v/>
      </c>
      <c r="F1968" s="9" t="str">
        <f aca="false">IF($A1968="","",IFERROR(INDEX(會員!$B$2:$B$2000,MATCH($A1968,會員!$A$2:$A$2000,0)),"（沒建檔）"))</f>
        <v/>
      </c>
      <c r="G1968" s="10" t="str">
        <f aca="false">IF($B1968="","",IF($D1968="","未還","已還"))</f>
        <v/>
      </c>
    </row>
    <row r="1969" customFormat="false" ht="15" hidden="false" customHeight="false" outlineLevel="0" collapsed="false">
      <c r="E1969" s="9" t="str">
        <f aca="false">IF($B1969="","",IFERROR(INDEX(書籍!$B$2:$B$2000,MATCH($B1969,書籍!$A$2:$A$2000,0)),"（沒建檔）"))</f>
        <v/>
      </c>
      <c r="F1969" s="9" t="str">
        <f aca="false">IF($A1969="","",IFERROR(INDEX(會員!$B$2:$B$2000,MATCH($A1969,會員!$A$2:$A$2000,0)),"（沒建檔）"))</f>
        <v/>
      </c>
      <c r="G1969" s="10" t="str">
        <f aca="false">IF($B1969="","",IF($D1969="","未還","已還"))</f>
        <v/>
      </c>
    </row>
    <row r="1970" customFormat="false" ht="15" hidden="false" customHeight="false" outlineLevel="0" collapsed="false">
      <c r="E1970" s="9" t="str">
        <f aca="false">IF($B1970="","",IFERROR(INDEX(書籍!$B$2:$B$2000,MATCH($B1970,書籍!$A$2:$A$2000,0)),"（沒建檔）"))</f>
        <v/>
      </c>
      <c r="F1970" s="9" t="str">
        <f aca="false">IF($A1970="","",IFERROR(INDEX(會員!$B$2:$B$2000,MATCH($A1970,會員!$A$2:$A$2000,0)),"（沒建檔）"))</f>
        <v/>
      </c>
      <c r="G1970" s="10" t="str">
        <f aca="false">IF($B1970="","",IF($D1970="","未還","已還"))</f>
        <v/>
      </c>
    </row>
    <row r="1971" customFormat="false" ht="15" hidden="false" customHeight="false" outlineLevel="0" collapsed="false">
      <c r="E1971" s="9" t="str">
        <f aca="false">IF($B1971="","",IFERROR(INDEX(書籍!$B$2:$B$2000,MATCH($B1971,書籍!$A$2:$A$2000,0)),"（沒建檔）"))</f>
        <v/>
      </c>
      <c r="F1971" s="9" t="str">
        <f aca="false">IF($A1971="","",IFERROR(INDEX(會員!$B$2:$B$2000,MATCH($A1971,會員!$A$2:$A$2000,0)),"（沒建檔）"))</f>
        <v/>
      </c>
      <c r="G1971" s="10" t="str">
        <f aca="false">IF($B1971="","",IF($D1971="","未還","已還"))</f>
        <v/>
      </c>
    </row>
    <row r="1972" customFormat="false" ht="15" hidden="false" customHeight="false" outlineLevel="0" collapsed="false">
      <c r="E1972" s="9" t="str">
        <f aca="false">IF($B1972="","",IFERROR(INDEX(書籍!$B$2:$B$2000,MATCH($B1972,書籍!$A$2:$A$2000,0)),"（沒建檔）"))</f>
        <v/>
      </c>
      <c r="F1972" s="9" t="str">
        <f aca="false">IF($A1972="","",IFERROR(INDEX(會員!$B$2:$B$2000,MATCH($A1972,會員!$A$2:$A$2000,0)),"（沒建檔）"))</f>
        <v/>
      </c>
      <c r="G1972" s="10" t="str">
        <f aca="false">IF($B1972="","",IF($D1972="","未還","已還"))</f>
        <v/>
      </c>
    </row>
    <row r="1973" customFormat="false" ht="15" hidden="false" customHeight="false" outlineLevel="0" collapsed="false">
      <c r="E1973" s="9" t="str">
        <f aca="false">IF($B1973="","",IFERROR(INDEX(書籍!$B$2:$B$2000,MATCH($B1973,書籍!$A$2:$A$2000,0)),"（沒建檔）"))</f>
        <v/>
      </c>
      <c r="F1973" s="9" t="str">
        <f aca="false">IF($A1973="","",IFERROR(INDEX(會員!$B$2:$B$2000,MATCH($A1973,會員!$A$2:$A$2000,0)),"（沒建檔）"))</f>
        <v/>
      </c>
      <c r="G1973" s="10" t="str">
        <f aca="false">IF($B1973="","",IF($D1973="","未還","已還"))</f>
        <v/>
      </c>
    </row>
    <row r="1974" customFormat="false" ht="15" hidden="false" customHeight="false" outlineLevel="0" collapsed="false">
      <c r="E1974" s="9" t="str">
        <f aca="false">IF($B1974="","",IFERROR(INDEX(書籍!$B$2:$B$2000,MATCH($B1974,書籍!$A$2:$A$2000,0)),"（沒建檔）"))</f>
        <v/>
      </c>
      <c r="F1974" s="9" t="str">
        <f aca="false">IF($A1974="","",IFERROR(INDEX(會員!$B$2:$B$2000,MATCH($A1974,會員!$A$2:$A$2000,0)),"（沒建檔）"))</f>
        <v/>
      </c>
      <c r="G1974" s="10" t="str">
        <f aca="false">IF($B1974="","",IF($D1974="","未還","已還"))</f>
        <v/>
      </c>
    </row>
    <row r="1975" customFormat="false" ht="15" hidden="false" customHeight="false" outlineLevel="0" collapsed="false">
      <c r="E1975" s="9" t="str">
        <f aca="false">IF($B1975="","",IFERROR(INDEX(書籍!$B$2:$B$2000,MATCH($B1975,書籍!$A$2:$A$2000,0)),"（沒建檔）"))</f>
        <v/>
      </c>
      <c r="F1975" s="9" t="str">
        <f aca="false">IF($A1975="","",IFERROR(INDEX(會員!$B$2:$B$2000,MATCH($A1975,會員!$A$2:$A$2000,0)),"（沒建檔）"))</f>
        <v/>
      </c>
      <c r="G1975" s="10" t="str">
        <f aca="false">IF($B1975="","",IF($D1975="","未還","已還"))</f>
        <v/>
      </c>
    </row>
    <row r="1976" customFormat="false" ht="15" hidden="false" customHeight="false" outlineLevel="0" collapsed="false">
      <c r="E1976" s="9" t="str">
        <f aca="false">IF($B1976="","",IFERROR(INDEX(書籍!$B$2:$B$2000,MATCH($B1976,書籍!$A$2:$A$2000,0)),"（沒建檔）"))</f>
        <v/>
      </c>
      <c r="F1976" s="9" t="str">
        <f aca="false">IF($A1976="","",IFERROR(INDEX(會員!$B$2:$B$2000,MATCH($A1976,會員!$A$2:$A$2000,0)),"（沒建檔）"))</f>
        <v/>
      </c>
      <c r="G1976" s="10" t="str">
        <f aca="false">IF($B1976="","",IF($D1976="","未還","已還"))</f>
        <v/>
      </c>
    </row>
    <row r="1977" customFormat="false" ht="15" hidden="false" customHeight="false" outlineLevel="0" collapsed="false">
      <c r="E1977" s="9" t="str">
        <f aca="false">IF($B1977="","",IFERROR(INDEX(書籍!$B$2:$B$2000,MATCH($B1977,書籍!$A$2:$A$2000,0)),"（沒建檔）"))</f>
        <v/>
      </c>
      <c r="F1977" s="9" t="str">
        <f aca="false">IF($A1977="","",IFERROR(INDEX(會員!$B$2:$B$2000,MATCH($A1977,會員!$A$2:$A$2000,0)),"（沒建檔）"))</f>
        <v/>
      </c>
      <c r="G1977" s="10" t="str">
        <f aca="false">IF($B1977="","",IF($D1977="","未還","已還"))</f>
        <v/>
      </c>
    </row>
    <row r="1978" customFormat="false" ht="15" hidden="false" customHeight="false" outlineLevel="0" collapsed="false">
      <c r="E1978" s="9" t="str">
        <f aca="false">IF($B1978="","",IFERROR(INDEX(書籍!$B$2:$B$2000,MATCH($B1978,書籍!$A$2:$A$2000,0)),"（沒建檔）"))</f>
        <v/>
      </c>
      <c r="F1978" s="9" t="str">
        <f aca="false">IF($A1978="","",IFERROR(INDEX(會員!$B$2:$B$2000,MATCH($A1978,會員!$A$2:$A$2000,0)),"（沒建檔）"))</f>
        <v/>
      </c>
      <c r="G1978" s="10" t="str">
        <f aca="false">IF($B1978="","",IF($D1978="","未還","已還"))</f>
        <v/>
      </c>
    </row>
    <row r="1979" customFormat="false" ht="15" hidden="false" customHeight="false" outlineLevel="0" collapsed="false">
      <c r="E1979" s="9" t="str">
        <f aca="false">IF($B1979="","",IFERROR(INDEX(書籍!$B$2:$B$2000,MATCH($B1979,書籍!$A$2:$A$2000,0)),"（沒建檔）"))</f>
        <v/>
      </c>
      <c r="F1979" s="9" t="str">
        <f aca="false">IF($A1979="","",IFERROR(INDEX(會員!$B$2:$B$2000,MATCH($A1979,會員!$A$2:$A$2000,0)),"（沒建檔）"))</f>
        <v/>
      </c>
      <c r="G1979" s="10" t="str">
        <f aca="false">IF($B1979="","",IF($D1979="","未還","已還"))</f>
        <v/>
      </c>
    </row>
    <row r="1980" customFormat="false" ht="15" hidden="false" customHeight="false" outlineLevel="0" collapsed="false">
      <c r="E1980" s="9" t="str">
        <f aca="false">IF($B1980="","",IFERROR(INDEX(書籍!$B$2:$B$2000,MATCH($B1980,書籍!$A$2:$A$2000,0)),"（沒建檔）"))</f>
        <v/>
      </c>
      <c r="F1980" s="9" t="str">
        <f aca="false">IF($A1980="","",IFERROR(INDEX(會員!$B$2:$B$2000,MATCH($A1980,會員!$A$2:$A$2000,0)),"（沒建檔）"))</f>
        <v/>
      </c>
      <c r="G1980" s="10" t="str">
        <f aca="false">IF($B1980="","",IF($D1980="","未還","已還"))</f>
        <v/>
      </c>
    </row>
    <row r="1981" customFormat="false" ht="15" hidden="false" customHeight="false" outlineLevel="0" collapsed="false">
      <c r="E1981" s="9" t="str">
        <f aca="false">IF($B1981="","",IFERROR(INDEX(書籍!$B$2:$B$2000,MATCH($B1981,書籍!$A$2:$A$2000,0)),"（沒建檔）"))</f>
        <v/>
      </c>
      <c r="F1981" s="9" t="str">
        <f aca="false">IF($A1981="","",IFERROR(INDEX(會員!$B$2:$B$2000,MATCH($A1981,會員!$A$2:$A$2000,0)),"（沒建檔）"))</f>
        <v/>
      </c>
      <c r="G1981" s="10" t="str">
        <f aca="false">IF($B1981="","",IF($D1981="","未還","已還"))</f>
        <v/>
      </c>
    </row>
    <row r="1982" customFormat="false" ht="15" hidden="false" customHeight="false" outlineLevel="0" collapsed="false">
      <c r="E1982" s="9" t="str">
        <f aca="false">IF($B1982="","",IFERROR(INDEX(書籍!$B$2:$B$2000,MATCH($B1982,書籍!$A$2:$A$2000,0)),"（沒建檔）"))</f>
        <v/>
      </c>
      <c r="F1982" s="9" t="str">
        <f aca="false">IF($A1982="","",IFERROR(INDEX(會員!$B$2:$B$2000,MATCH($A1982,會員!$A$2:$A$2000,0)),"（沒建檔）"))</f>
        <v/>
      </c>
      <c r="G1982" s="10" t="str">
        <f aca="false">IF($B1982="","",IF($D1982="","未還","已還"))</f>
        <v/>
      </c>
    </row>
    <row r="1983" customFormat="false" ht="15" hidden="false" customHeight="false" outlineLevel="0" collapsed="false">
      <c r="E1983" s="9" t="str">
        <f aca="false">IF($B1983="","",IFERROR(INDEX(書籍!$B$2:$B$2000,MATCH($B1983,書籍!$A$2:$A$2000,0)),"（沒建檔）"))</f>
        <v/>
      </c>
      <c r="F1983" s="9" t="str">
        <f aca="false">IF($A1983="","",IFERROR(INDEX(會員!$B$2:$B$2000,MATCH($A1983,會員!$A$2:$A$2000,0)),"（沒建檔）"))</f>
        <v/>
      </c>
      <c r="G1983" s="10" t="str">
        <f aca="false">IF($B1983="","",IF($D1983="","未還","已還"))</f>
        <v/>
      </c>
    </row>
    <row r="1984" customFormat="false" ht="15" hidden="false" customHeight="false" outlineLevel="0" collapsed="false">
      <c r="E1984" s="9" t="str">
        <f aca="false">IF($B1984="","",IFERROR(INDEX(書籍!$B$2:$B$2000,MATCH($B1984,書籍!$A$2:$A$2000,0)),"（沒建檔）"))</f>
        <v/>
      </c>
      <c r="F1984" s="9" t="str">
        <f aca="false">IF($A1984="","",IFERROR(INDEX(會員!$B$2:$B$2000,MATCH($A1984,會員!$A$2:$A$2000,0)),"（沒建檔）"))</f>
        <v/>
      </c>
      <c r="G1984" s="10" t="str">
        <f aca="false">IF($B1984="","",IF($D1984="","未還","已還"))</f>
        <v/>
      </c>
    </row>
    <row r="1985" customFormat="false" ht="15" hidden="false" customHeight="false" outlineLevel="0" collapsed="false">
      <c r="E1985" s="9" t="str">
        <f aca="false">IF($B1985="","",IFERROR(INDEX(書籍!$B$2:$B$2000,MATCH($B1985,書籍!$A$2:$A$2000,0)),"（沒建檔）"))</f>
        <v/>
      </c>
      <c r="F1985" s="9" t="str">
        <f aca="false">IF($A1985="","",IFERROR(INDEX(會員!$B$2:$B$2000,MATCH($A1985,會員!$A$2:$A$2000,0)),"（沒建檔）"))</f>
        <v/>
      </c>
      <c r="G1985" s="10" t="str">
        <f aca="false">IF($B1985="","",IF($D1985="","未還","已還"))</f>
        <v/>
      </c>
    </row>
    <row r="1986" customFormat="false" ht="15" hidden="false" customHeight="false" outlineLevel="0" collapsed="false">
      <c r="E1986" s="9" t="str">
        <f aca="false">IF($B1986="","",IFERROR(INDEX(書籍!$B$2:$B$2000,MATCH($B1986,書籍!$A$2:$A$2000,0)),"（沒建檔）"))</f>
        <v/>
      </c>
      <c r="F1986" s="9" t="str">
        <f aca="false">IF($A1986="","",IFERROR(INDEX(會員!$B$2:$B$2000,MATCH($A1986,會員!$A$2:$A$2000,0)),"（沒建檔）"))</f>
        <v/>
      </c>
      <c r="G1986" s="10" t="str">
        <f aca="false">IF($B1986="","",IF($D1986="","未還","已還"))</f>
        <v/>
      </c>
    </row>
    <row r="1987" customFormat="false" ht="15" hidden="false" customHeight="false" outlineLevel="0" collapsed="false">
      <c r="E1987" s="9" t="str">
        <f aca="false">IF($B1987="","",IFERROR(INDEX(書籍!$B$2:$B$2000,MATCH($B1987,書籍!$A$2:$A$2000,0)),"（沒建檔）"))</f>
        <v/>
      </c>
      <c r="F1987" s="9" t="str">
        <f aca="false">IF($A1987="","",IFERROR(INDEX(會員!$B$2:$B$2000,MATCH($A1987,會員!$A$2:$A$2000,0)),"（沒建檔）"))</f>
        <v/>
      </c>
      <c r="G1987" s="10" t="str">
        <f aca="false">IF($B1987="","",IF($D1987="","未還","已還"))</f>
        <v/>
      </c>
    </row>
    <row r="1988" customFormat="false" ht="15" hidden="false" customHeight="false" outlineLevel="0" collapsed="false">
      <c r="E1988" s="9" t="str">
        <f aca="false">IF($B1988="","",IFERROR(INDEX(書籍!$B$2:$B$2000,MATCH($B1988,書籍!$A$2:$A$2000,0)),"（沒建檔）"))</f>
        <v/>
      </c>
      <c r="F1988" s="9" t="str">
        <f aca="false">IF($A1988="","",IFERROR(INDEX(會員!$B$2:$B$2000,MATCH($A1988,會員!$A$2:$A$2000,0)),"（沒建檔）"))</f>
        <v/>
      </c>
      <c r="G1988" s="10" t="str">
        <f aca="false">IF($B1988="","",IF($D1988="","未還","已還"))</f>
        <v/>
      </c>
    </row>
    <row r="1989" customFormat="false" ht="15" hidden="false" customHeight="false" outlineLevel="0" collapsed="false">
      <c r="E1989" s="9" t="str">
        <f aca="false">IF($B1989="","",IFERROR(INDEX(書籍!$B$2:$B$2000,MATCH($B1989,書籍!$A$2:$A$2000,0)),"（沒建檔）"))</f>
        <v/>
      </c>
      <c r="F1989" s="9" t="str">
        <f aca="false">IF($A1989="","",IFERROR(INDEX(會員!$B$2:$B$2000,MATCH($A1989,會員!$A$2:$A$2000,0)),"（沒建檔）"))</f>
        <v/>
      </c>
      <c r="G1989" s="10" t="str">
        <f aca="false">IF($B1989="","",IF($D1989="","未還","已還"))</f>
        <v/>
      </c>
    </row>
    <row r="1990" customFormat="false" ht="15" hidden="false" customHeight="false" outlineLevel="0" collapsed="false">
      <c r="E1990" s="9" t="str">
        <f aca="false">IF($B1990="","",IFERROR(INDEX(書籍!$B$2:$B$2000,MATCH($B1990,書籍!$A$2:$A$2000,0)),"（沒建檔）"))</f>
        <v/>
      </c>
      <c r="F1990" s="9" t="str">
        <f aca="false">IF($A1990="","",IFERROR(INDEX(會員!$B$2:$B$2000,MATCH($A1990,會員!$A$2:$A$2000,0)),"（沒建檔）"))</f>
        <v/>
      </c>
      <c r="G1990" s="10" t="str">
        <f aca="false">IF($B1990="","",IF($D1990="","未還","已還"))</f>
        <v/>
      </c>
    </row>
    <row r="1991" customFormat="false" ht="15" hidden="false" customHeight="false" outlineLevel="0" collapsed="false">
      <c r="E1991" s="9" t="str">
        <f aca="false">IF($B1991="","",IFERROR(INDEX(書籍!$B$2:$B$2000,MATCH($B1991,書籍!$A$2:$A$2000,0)),"（沒建檔）"))</f>
        <v/>
      </c>
      <c r="F1991" s="9" t="str">
        <f aca="false">IF($A1991="","",IFERROR(INDEX(會員!$B$2:$B$2000,MATCH($A1991,會員!$A$2:$A$2000,0)),"（沒建檔）"))</f>
        <v/>
      </c>
      <c r="G1991" s="10" t="str">
        <f aca="false">IF($B1991="","",IF($D1991="","未還","已還"))</f>
        <v/>
      </c>
    </row>
    <row r="1992" customFormat="false" ht="15" hidden="false" customHeight="false" outlineLevel="0" collapsed="false">
      <c r="E1992" s="9" t="str">
        <f aca="false">IF($B1992="","",IFERROR(INDEX(書籍!$B$2:$B$2000,MATCH($B1992,書籍!$A$2:$A$2000,0)),"（沒建檔）"))</f>
        <v/>
      </c>
      <c r="F1992" s="9" t="str">
        <f aca="false">IF($A1992="","",IFERROR(INDEX(會員!$B$2:$B$2000,MATCH($A1992,會員!$A$2:$A$2000,0)),"（沒建檔）"))</f>
        <v/>
      </c>
      <c r="G1992" s="10" t="str">
        <f aca="false">IF($B1992="","",IF($D1992="","未還","已還"))</f>
        <v/>
      </c>
    </row>
    <row r="1993" customFormat="false" ht="15" hidden="false" customHeight="false" outlineLevel="0" collapsed="false">
      <c r="E1993" s="9" t="str">
        <f aca="false">IF($B1993="","",IFERROR(INDEX(書籍!$B$2:$B$2000,MATCH($B1993,書籍!$A$2:$A$2000,0)),"（沒建檔）"))</f>
        <v/>
      </c>
      <c r="F1993" s="9" t="str">
        <f aca="false">IF($A1993="","",IFERROR(INDEX(會員!$B$2:$B$2000,MATCH($A1993,會員!$A$2:$A$2000,0)),"（沒建檔）"))</f>
        <v/>
      </c>
      <c r="G1993" s="10" t="str">
        <f aca="false">IF($B1993="","",IF($D1993="","未還","已還"))</f>
        <v/>
      </c>
    </row>
    <row r="1994" customFormat="false" ht="15" hidden="false" customHeight="false" outlineLevel="0" collapsed="false">
      <c r="E1994" s="9" t="str">
        <f aca="false">IF($B1994="","",IFERROR(INDEX(書籍!$B$2:$B$2000,MATCH($B1994,書籍!$A$2:$A$2000,0)),"（沒建檔）"))</f>
        <v/>
      </c>
      <c r="F1994" s="9" t="str">
        <f aca="false">IF($A1994="","",IFERROR(INDEX(會員!$B$2:$B$2000,MATCH($A1994,會員!$A$2:$A$2000,0)),"（沒建檔）"))</f>
        <v/>
      </c>
      <c r="G1994" s="10" t="str">
        <f aca="false">IF($B1994="","",IF($D1994="","未還","已還"))</f>
        <v/>
      </c>
    </row>
    <row r="1995" customFormat="false" ht="15" hidden="false" customHeight="false" outlineLevel="0" collapsed="false">
      <c r="E1995" s="9" t="str">
        <f aca="false">IF($B1995="","",IFERROR(INDEX(書籍!$B$2:$B$2000,MATCH($B1995,書籍!$A$2:$A$2000,0)),"（沒建檔）"))</f>
        <v/>
      </c>
      <c r="F1995" s="9" t="str">
        <f aca="false">IF($A1995="","",IFERROR(INDEX(會員!$B$2:$B$2000,MATCH($A1995,會員!$A$2:$A$2000,0)),"（沒建檔）"))</f>
        <v/>
      </c>
      <c r="G1995" s="10" t="str">
        <f aca="false">IF($B1995="","",IF($D1995="","未還","已還"))</f>
        <v/>
      </c>
    </row>
    <row r="1996" customFormat="false" ht="15" hidden="false" customHeight="false" outlineLevel="0" collapsed="false">
      <c r="E1996" s="9" t="str">
        <f aca="false">IF($B1996="","",IFERROR(INDEX(書籍!$B$2:$B$2000,MATCH($B1996,書籍!$A$2:$A$2000,0)),"（沒建檔）"))</f>
        <v/>
      </c>
      <c r="F1996" s="9" t="str">
        <f aca="false">IF($A1996="","",IFERROR(INDEX(會員!$B$2:$B$2000,MATCH($A1996,會員!$A$2:$A$2000,0)),"（沒建檔）"))</f>
        <v/>
      </c>
      <c r="G1996" s="10" t="str">
        <f aca="false">IF($B1996="","",IF($D1996="","未還","已還"))</f>
        <v/>
      </c>
    </row>
    <row r="1997" customFormat="false" ht="15" hidden="false" customHeight="false" outlineLevel="0" collapsed="false">
      <c r="E1997" s="9" t="str">
        <f aca="false">IF($B1997="","",IFERROR(INDEX(書籍!$B$2:$B$2000,MATCH($B1997,書籍!$A$2:$A$2000,0)),"（沒建檔）"))</f>
        <v/>
      </c>
      <c r="F1997" s="9" t="str">
        <f aca="false">IF($A1997="","",IFERROR(INDEX(會員!$B$2:$B$2000,MATCH($A1997,會員!$A$2:$A$2000,0)),"（沒建檔）"))</f>
        <v/>
      </c>
      <c r="G1997" s="10" t="str">
        <f aca="false">IF($B1997="","",IF($D1997="","未還","已還"))</f>
        <v/>
      </c>
    </row>
    <row r="1998" customFormat="false" ht="15" hidden="false" customHeight="false" outlineLevel="0" collapsed="false">
      <c r="E1998" s="9" t="str">
        <f aca="false">IF($B1998="","",IFERROR(INDEX(書籍!$B$2:$B$2000,MATCH($B1998,書籍!$A$2:$A$2000,0)),"（沒建檔）"))</f>
        <v/>
      </c>
      <c r="F1998" s="9" t="str">
        <f aca="false">IF($A1998="","",IFERROR(INDEX(會員!$B$2:$B$2000,MATCH($A1998,會員!$A$2:$A$2000,0)),"（沒建檔）"))</f>
        <v/>
      </c>
      <c r="G1998" s="10" t="str">
        <f aca="false">IF($B1998="","",IF($D1998="","未還","已還"))</f>
        <v/>
      </c>
    </row>
    <row r="1999" customFormat="false" ht="15" hidden="false" customHeight="false" outlineLevel="0" collapsed="false">
      <c r="E1999" s="9" t="str">
        <f aca="false">IF($B1999="","",IFERROR(INDEX(書籍!$B$2:$B$2000,MATCH($B1999,書籍!$A$2:$A$2000,0)),"（沒建檔）"))</f>
        <v/>
      </c>
      <c r="F1999" s="9" t="str">
        <f aca="false">IF($A1999="","",IFERROR(INDEX(會員!$B$2:$B$2000,MATCH($A1999,會員!$A$2:$A$2000,0)),"（沒建檔）"))</f>
        <v/>
      </c>
      <c r="G1999" s="10" t="str">
        <f aca="false">IF($B1999="","",IF($D1999="","未還","已還"))</f>
        <v/>
      </c>
    </row>
    <row r="2000" customFormat="false" ht="15" hidden="false" customHeight="false" outlineLevel="0" collapsed="false">
      <c r="E2000" s="9" t="str">
        <f aca="false">IF($B2000="","",IFERROR(INDEX(書籍!$B$2:$B$2000,MATCH($B2000,書籍!$A$2:$A$2000,0)),"（沒建檔）"))</f>
        <v/>
      </c>
      <c r="F2000" s="9" t="str">
        <f aca="false">IF($A2000="","",IFERROR(INDEX(會員!$B$2:$B$2000,MATCH($A2000,會員!$A$2:$A$2000,0)),"（沒建檔）"))</f>
        <v/>
      </c>
      <c r="G2000" s="10" t="str">
        <f aca="false">IF($B2000="","",IF($D2000="","未還","已還"))</f>
        <v/>
      </c>
    </row>
  </sheetData>
  <autoFilter ref="A1:G2000"/>
  <dataValidations count="2">
    <dataValidation allowBlank="true" error="這個會員編號不在「會員」表裡。" errorStyle="stop" errorTitle="找不到會員" operator="between" showDropDown="false" showErrorMessage="true" showInputMessage="false" sqref="A2:A2000" type="list">
      <formula1>會員!$A$2:$A$2000</formula1>
      <formula2>0</formula2>
    </dataValidation>
    <dataValidation allowBlank="true" error="這個 ISBN 不在「書籍」表裡。" errorStyle="stop" errorTitle="找不到書" operator="between" showDropDown="false" showErrorMessage="true" showInputMessage="false" sqref="B2:B2000" type="list">
      <formula1>書籍!$A$2:$A$2000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0"/>
    <col collapsed="false" customWidth="true" hidden="false" outlineLevel="0" max="4" min="3" style="0" width="12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7" min="7" style="0" width="12"/>
  </cols>
  <sheetData>
    <row r="1" customFormat="false" ht="21.75" hidden="false" customHeight="true" outlineLevel="0" collapsed="false">
      <c r="A1" s="6" t="s">
        <v>16</v>
      </c>
      <c r="B1" s="5" t="s">
        <v>19</v>
      </c>
      <c r="C1" s="5" t="s">
        <v>162</v>
      </c>
      <c r="D1" s="5" t="s">
        <v>163</v>
      </c>
      <c r="E1" s="5" t="s">
        <v>21</v>
      </c>
      <c r="F1" s="5" t="s">
        <v>164</v>
      </c>
      <c r="G1" s="11" t="s">
        <v>165</v>
      </c>
    </row>
    <row r="2" customFormat="false" ht="15" hidden="false" customHeight="false" outlineLevel="0" collapsed="false">
      <c r="A2" s="7" t="s">
        <v>158</v>
      </c>
      <c r="B2" s="12" t="s">
        <v>166</v>
      </c>
      <c r="C2" s="12" t="s">
        <v>167</v>
      </c>
      <c r="D2" s="13" t="n">
        <f aca="false">COUNTIFS(借閱!$B$2:$B$2000,$A2,借閱!$D$2:$D$2000,"")</f>
        <v>0</v>
      </c>
      <c r="E2" s="10" t="str">
        <f aca="false">IF(D2&gt;0,"借出中","在店")</f>
        <v>在店</v>
      </c>
      <c r="F2" s="10" t="n">
        <f aca="false">COUNTIF(借閱!$B$2:$B$2000,$A2)</f>
        <v>4</v>
      </c>
      <c r="G2" s="10" t="n">
        <f aca="false">F2+ROW()/100000</f>
        <v>4.00002</v>
      </c>
    </row>
    <row r="3" customFormat="false" ht="15" hidden="false" customHeight="false" outlineLevel="0" collapsed="false">
      <c r="A3" s="7" t="s">
        <v>64</v>
      </c>
      <c r="B3" s="12" t="s">
        <v>168</v>
      </c>
      <c r="C3" s="12" t="s">
        <v>169</v>
      </c>
      <c r="D3" s="13" t="n">
        <f aca="false">COUNTIFS(借閱!$B$2:$B$2000,$A3,借閱!$D$2:$D$2000,"")</f>
        <v>0</v>
      </c>
      <c r="E3" s="10" t="str">
        <f aca="false">IF(D3&gt;0,"借出中","在店")</f>
        <v>在店</v>
      </c>
      <c r="F3" s="10" t="n">
        <f aca="false">COUNTIF(借閱!$B$2:$B$2000,$A3)</f>
        <v>2</v>
      </c>
      <c r="G3" s="10" t="n">
        <f aca="false">F3+ROW()/100000</f>
        <v>2.00003</v>
      </c>
    </row>
    <row r="4" customFormat="false" ht="15" hidden="false" customHeight="false" outlineLevel="0" collapsed="false">
      <c r="A4" s="7" t="s">
        <v>115</v>
      </c>
      <c r="B4" s="12" t="s">
        <v>170</v>
      </c>
      <c r="C4" s="12" t="s">
        <v>171</v>
      </c>
      <c r="D4" s="13" t="n">
        <f aca="false">COUNTIFS(借閱!$B$2:$B$2000,$A4,借閱!$D$2:$D$2000,"")</f>
        <v>0</v>
      </c>
      <c r="E4" s="10" t="str">
        <f aca="false">IF(D4&gt;0,"借出中","在店")</f>
        <v>在店</v>
      </c>
      <c r="F4" s="10" t="n">
        <f aca="false">COUNTIF(借閱!$B$2:$B$2000,$A4)</f>
        <v>3</v>
      </c>
      <c r="G4" s="10" t="n">
        <f aca="false">F4+ROW()/100000</f>
        <v>3.00004</v>
      </c>
    </row>
    <row r="5" customFormat="false" ht="15" hidden="false" customHeight="false" outlineLevel="0" collapsed="false">
      <c r="A5" s="7" t="s">
        <v>67</v>
      </c>
      <c r="B5" s="12" t="s">
        <v>172</v>
      </c>
      <c r="C5" s="12" t="s">
        <v>173</v>
      </c>
      <c r="D5" s="13" t="n">
        <f aca="false">COUNTIFS(借閱!$B$2:$B$2000,$A5,借閱!$D$2:$D$2000,"")</f>
        <v>0</v>
      </c>
      <c r="E5" s="10" t="str">
        <f aca="false">IF(D5&gt;0,"借出中","在店")</f>
        <v>在店</v>
      </c>
      <c r="F5" s="10" t="n">
        <f aca="false">COUNTIF(借閱!$B$2:$B$2000,$A5)</f>
        <v>5</v>
      </c>
      <c r="G5" s="10" t="n">
        <f aca="false">F5+ROW()/100000</f>
        <v>5.00005</v>
      </c>
    </row>
    <row r="6" customFormat="false" ht="15" hidden="false" customHeight="false" outlineLevel="0" collapsed="false">
      <c r="A6" s="7" t="s">
        <v>144</v>
      </c>
      <c r="B6" s="12" t="s">
        <v>174</v>
      </c>
      <c r="C6" s="12" t="s">
        <v>175</v>
      </c>
      <c r="D6" s="13" t="n">
        <f aca="false">COUNTIFS(借閱!$B$2:$B$2000,$A6,借閱!$D$2:$D$2000,"")</f>
        <v>0</v>
      </c>
      <c r="E6" s="10" t="str">
        <f aca="false">IF(D6&gt;0,"借出中","在店")</f>
        <v>在店</v>
      </c>
      <c r="F6" s="10" t="n">
        <f aca="false">COUNTIF(借閱!$B$2:$B$2000,$A6)</f>
        <v>6</v>
      </c>
      <c r="G6" s="10" t="n">
        <f aca="false">F6+ROW()/100000</f>
        <v>6.00006</v>
      </c>
    </row>
    <row r="7" customFormat="false" ht="15" hidden="false" customHeight="false" outlineLevel="0" collapsed="false">
      <c r="A7" s="7" t="s">
        <v>118</v>
      </c>
      <c r="B7" s="12" t="s">
        <v>176</v>
      </c>
      <c r="C7" s="12" t="s">
        <v>177</v>
      </c>
      <c r="D7" s="13" t="n">
        <f aca="false">COUNTIFS(借閱!$B$2:$B$2000,$A7,借閱!$D$2:$D$2000,"")</f>
        <v>0</v>
      </c>
      <c r="E7" s="10" t="str">
        <f aca="false">IF(D7&gt;0,"借出中","在店")</f>
        <v>在店</v>
      </c>
      <c r="F7" s="10" t="n">
        <f aca="false">COUNTIF(借閱!$B$2:$B$2000,$A7)</f>
        <v>6</v>
      </c>
      <c r="G7" s="10" t="n">
        <f aca="false">F7+ROW()/100000</f>
        <v>6.00007</v>
      </c>
    </row>
    <row r="8" customFormat="false" ht="15" hidden="false" customHeight="false" outlineLevel="0" collapsed="false">
      <c r="A8" s="7" t="s">
        <v>138</v>
      </c>
      <c r="B8" s="12" t="s">
        <v>178</v>
      </c>
      <c r="C8" s="12" t="s">
        <v>179</v>
      </c>
      <c r="D8" s="13" t="n">
        <f aca="false">COUNTIFS(借閱!$B$2:$B$2000,$A8,借閱!$D$2:$D$2000,"")</f>
        <v>1</v>
      </c>
      <c r="E8" s="10" t="str">
        <f aca="false">IF(D8&gt;0,"借出中","在店")</f>
        <v>借出中</v>
      </c>
      <c r="F8" s="10" t="n">
        <f aca="false">COUNTIF(借閱!$B$2:$B$2000,$A8)</f>
        <v>5</v>
      </c>
      <c r="G8" s="10" t="n">
        <f aca="false">F8+ROW()/100000</f>
        <v>5.00008</v>
      </c>
    </row>
    <row r="9" customFormat="false" ht="15" hidden="false" customHeight="false" outlineLevel="0" collapsed="false">
      <c r="A9" s="7" t="s">
        <v>52</v>
      </c>
      <c r="B9" s="12" t="s">
        <v>180</v>
      </c>
      <c r="C9" s="12" t="s">
        <v>181</v>
      </c>
      <c r="D9" s="13" t="n">
        <f aca="false">COUNTIFS(借閱!$B$2:$B$2000,$A9,借閱!$D$2:$D$2000,"")</f>
        <v>0</v>
      </c>
      <c r="E9" s="10" t="str">
        <f aca="false">IF(D9&gt;0,"借出中","在店")</f>
        <v>在店</v>
      </c>
      <c r="F9" s="10" t="n">
        <f aca="false">COUNTIF(借閱!$B$2:$B$2000,$A9)</f>
        <v>7</v>
      </c>
      <c r="G9" s="10" t="n">
        <f aca="false">F9+ROW()/100000</f>
        <v>7.00009</v>
      </c>
    </row>
    <row r="10" customFormat="false" ht="15" hidden="false" customHeight="false" outlineLevel="0" collapsed="false">
      <c r="A10" s="7" t="s">
        <v>155</v>
      </c>
      <c r="B10" s="12" t="s">
        <v>182</v>
      </c>
      <c r="C10" s="12" t="s">
        <v>183</v>
      </c>
      <c r="D10" s="13" t="n">
        <f aca="false">COUNTIFS(借閱!$B$2:$B$2000,$A10,借閱!$D$2:$D$2000,"")</f>
        <v>1</v>
      </c>
      <c r="E10" s="10" t="str">
        <f aca="false">IF(D10&gt;0,"借出中","在店")</f>
        <v>借出中</v>
      </c>
      <c r="F10" s="10" t="n">
        <f aca="false">COUNTIF(借閱!$B$2:$B$2000,$A10)</f>
        <v>6</v>
      </c>
      <c r="G10" s="10" t="n">
        <f aca="false">F10+ROW()/100000</f>
        <v>6.0001</v>
      </c>
    </row>
    <row r="11" customFormat="false" ht="15" hidden="false" customHeight="false" outlineLevel="0" collapsed="false">
      <c r="A11" s="7" t="s">
        <v>70</v>
      </c>
      <c r="B11" s="12" t="s">
        <v>184</v>
      </c>
      <c r="C11" s="12" t="s">
        <v>185</v>
      </c>
      <c r="D11" s="13" t="n">
        <f aca="false">COUNTIFS(借閱!$B$2:$B$2000,$A11,借閱!$D$2:$D$2000,"")</f>
        <v>0</v>
      </c>
      <c r="E11" s="10" t="str">
        <f aca="false">IF(D11&gt;0,"借出中","在店")</f>
        <v>在店</v>
      </c>
      <c r="F11" s="10" t="n">
        <f aca="false">COUNTIF(借閱!$B$2:$B$2000,$A11)</f>
        <v>4</v>
      </c>
      <c r="G11" s="10" t="n">
        <f aca="false">F11+ROW()/100000</f>
        <v>4.00011</v>
      </c>
    </row>
    <row r="12" customFormat="false" ht="15" hidden="false" customHeight="false" outlineLevel="0" collapsed="false">
      <c r="A12" s="7" t="s">
        <v>33</v>
      </c>
      <c r="B12" s="12" t="s">
        <v>186</v>
      </c>
      <c r="C12" s="12" t="s">
        <v>177</v>
      </c>
      <c r="D12" s="13" t="n">
        <f aca="false">COUNTIFS(借閱!$B$2:$B$2000,$A12,借閱!$D$2:$D$2000,"")</f>
        <v>0</v>
      </c>
      <c r="E12" s="10" t="str">
        <f aca="false">IF(D12&gt;0,"借出中","在店")</f>
        <v>在店</v>
      </c>
      <c r="F12" s="10" t="n">
        <f aca="false">COUNTIF(借閱!$B$2:$B$2000,$A12)</f>
        <v>6</v>
      </c>
      <c r="G12" s="10" t="n">
        <f aca="false">F12+ROW()/100000</f>
        <v>6.00012</v>
      </c>
    </row>
    <row r="13" customFormat="false" ht="15" hidden="false" customHeight="false" outlineLevel="0" collapsed="false">
      <c r="A13" s="7" t="s">
        <v>83</v>
      </c>
      <c r="B13" s="12" t="s">
        <v>187</v>
      </c>
      <c r="C13" s="12" t="s">
        <v>188</v>
      </c>
      <c r="D13" s="13" t="n">
        <f aca="false">COUNTIFS(借閱!$B$2:$B$2000,$A13,借閱!$D$2:$D$2000,"")</f>
        <v>0</v>
      </c>
      <c r="E13" s="10" t="str">
        <f aca="false">IF(D13&gt;0,"借出中","在店")</f>
        <v>在店</v>
      </c>
      <c r="F13" s="10" t="n">
        <f aca="false">COUNTIF(借閱!$B$2:$B$2000,$A13)</f>
        <v>5</v>
      </c>
      <c r="G13" s="10" t="n">
        <f aca="false">F13+ROW()/100000</f>
        <v>5.00013</v>
      </c>
    </row>
    <row r="14" customFormat="false" ht="15" hidden="false" customHeight="false" outlineLevel="0" collapsed="false">
      <c r="A14" s="7" t="s">
        <v>35</v>
      </c>
      <c r="B14" s="12" t="s">
        <v>189</v>
      </c>
      <c r="C14" s="12" t="s">
        <v>190</v>
      </c>
      <c r="D14" s="13" t="n">
        <f aca="false">COUNTIFS(借閱!$B$2:$B$2000,$A14,借閱!$D$2:$D$2000,"")</f>
        <v>0</v>
      </c>
      <c r="E14" s="10" t="str">
        <f aca="false">IF(D14&gt;0,"借出中","在店")</f>
        <v>在店</v>
      </c>
      <c r="F14" s="10" t="n">
        <f aca="false">COUNTIF(借閱!$B$2:$B$2000,$A14)</f>
        <v>5</v>
      </c>
      <c r="G14" s="10" t="n">
        <f aca="false">F14+ROW()/100000</f>
        <v>5.00014</v>
      </c>
    </row>
    <row r="15" customFormat="false" ht="15" hidden="false" customHeight="false" outlineLevel="0" collapsed="false">
      <c r="A15" s="7" t="s">
        <v>62</v>
      </c>
      <c r="B15" s="12" t="s">
        <v>191</v>
      </c>
      <c r="C15" s="12" t="s">
        <v>192</v>
      </c>
      <c r="D15" s="13" t="n">
        <f aca="false">COUNTIFS(借閱!$B$2:$B$2000,$A15,借閱!$D$2:$D$2000,"")</f>
        <v>1</v>
      </c>
      <c r="E15" s="10" t="str">
        <f aca="false">IF(D15&gt;0,"借出中","在店")</f>
        <v>借出中</v>
      </c>
      <c r="F15" s="10" t="n">
        <f aca="false">COUNTIF(借閱!$B$2:$B$2000,$A15)</f>
        <v>7</v>
      </c>
      <c r="G15" s="10" t="n">
        <f aca="false">F15+ROW()/100000</f>
        <v>7.00015</v>
      </c>
    </row>
    <row r="16" customFormat="false" ht="15" hidden="false" customHeight="false" outlineLevel="0" collapsed="false">
      <c r="A16" s="7" t="s">
        <v>25</v>
      </c>
      <c r="B16" s="12" t="s">
        <v>193</v>
      </c>
      <c r="C16" s="12" t="s">
        <v>194</v>
      </c>
      <c r="D16" s="13" t="n">
        <f aca="false">COUNTIFS(借閱!$B$2:$B$2000,$A16,借閱!$D$2:$D$2000,"")</f>
        <v>0</v>
      </c>
      <c r="E16" s="10" t="str">
        <f aca="false">IF(D16&gt;0,"借出中","在店")</f>
        <v>在店</v>
      </c>
      <c r="F16" s="10" t="n">
        <f aca="false">COUNTIF(借閱!$B$2:$B$2000,$A16)</f>
        <v>4</v>
      </c>
      <c r="G16" s="10" t="n">
        <f aca="false">F16+ROW()/100000</f>
        <v>4.00016</v>
      </c>
    </row>
    <row r="17" customFormat="false" ht="15" hidden="false" customHeight="false" outlineLevel="0" collapsed="false">
      <c r="A17" s="7" t="s">
        <v>43</v>
      </c>
      <c r="B17" s="12" t="s">
        <v>195</v>
      </c>
      <c r="C17" s="12" t="s">
        <v>196</v>
      </c>
      <c r="D17" s="13" t="n">
        <f aca="false">COUNTIFS(借閱!$B$2:$B$2000,$A17,借閱!$D$2:$D$2000,"")</f>
        <v>1</v>
      </c>
      <c r="E17" s="10" t="str">
        <f aca="false">IF(D17&gt;0,"借出中","在店")</f>
        <v>借出中</v>
      </c>
      <c r="F17" s="10" t="n">
        <f aca="false">COUNTIF(借閱!$B$2:$B$2000,$A17)</f>
        <v>5</v>
      </c>
      <c r="G17" s="10" t="n">
        <f aca="false">F17+ROW()/100000</f>
        <v>5.00017</v>
      </c>
    </row>
    <row r="18" customFormat="false" ht="15" hidden="false" customHeight="false" outlineLevel="0" collapsed="false">
      <c r="A18" s="7" t="s">
        <v>57</v>
      </c>
      <c r="B18" s="12" t="s">
        <v>197</v>
      </c>
      <c r="C18" s="12" t="s">
        <v>198</v>
      </c>
      <c r="D18" s="13" t="n">
        <f aca="false">COUNTIFS(借閱!$B$2:$B$2000,$A18,借閱!$D$2:$D$2000,"")</f>
        <v>0</v>
      </c>
      <c r="E18" s="10" t="str">
        <f aca="false">IF(D18&gt;0,"借出中","在店")</f>
        <v>在店</v>
      </c>
      <c r="F18" s="10" t="n">
        <f aca="false">COUNTIF(借閱!$B$2:$B$2000,$A18)</f>
        <v>5</v>
      </c>
      <c r="G18" s="10" t="n">
        <f aca="false">F18+ROW()/100000</f>
        <v>5.00018</v>
      </c>
    </row>
    <row r="19" customFormat="false" ht="15" hidden="false" customHeight="false" outlineLevel="0" collapsed="false">
      <c r="A19" s="7" t="s">
        <v>119</v>
      </c>
      <c r="B19" s="12" t="s">
        <v>199</v>
      </c>
      <c r="C19" s="12" t="s">
        <v>200</v>
      </c>
      <c r="D19" s="13" t="n">
        <f aca="false">COUNTIFS(借閱!$B$2:$B$2000,$A19,借閱!$D$2:$D$2000,"")</f>
        <v>0</v>
      </c>
      <c r="E19" s="10" t="str">
        <f aca="false">IF(D19&gt;0,"借出中","在店")</f>
        <v>在店</v>
      </c>
      <c r="F19" s="10" t="n">
        <f aca="false">COUNTIF(借閱!$B$2:$B$2000,$A19)</f>
        <v>3</v>
      </c>
      <c r="G19" s="10" t="n">
        <f aca="false">F19+ROW()/100000</f>
        <v>3.00019</v>
      </c>
    </row>
    <row r="20" customFormat="false" ht="15" hidden="false" customHeight="false" outlineLevel="0" collapsed="false">
      <c r="A20" s="7" t="s">
        <v>84</v>
      </c>
      <c r="B20" s="12" t="s">
        <v>201</v>
      </c>
      <c r="C20" s="12" t="s">
        <v>202</v>
      </c>
      <c r="D20" s="13" t="n">
        <f aca="false">COUNTIFS(借閱!$B$2:$B$2000,$A20,借閱!$D$2:$D$2000,"")</f>
        <v>0</v>
      </c>
      <c r="E20" s="10" t="str">
        <f aca="false">IF(D20&gt;0,"借出中","在店")</f>
        <v>在店</v>
      </c>
      <c r="F20" s="10" t="n">
        <f aca="false">COUNTIF(借閱!$B$2:$B$2000,$A20)</f>
        <v>5</v>
      </c>
      <c r="G20" s="10" t="n">
        <f aca="false">F20+ROW()/100000</f>
        <v>5.0002</v>
      </c>
    </row>
    <row r="21" customFormat="false" ht="15" hidden="false" customHeight="false" outlineLevel="0" collapsed="false">
      <c r="A21" s="7" t="s">
        <v>91</v>
      </c>
      <c r="B21" s="12" t="s">
        <v>203</v>
      </c>
      <c r="C21" s="12" t="s">
        <v>204</v>
      </c>
      <c r="D21" s="13" t="n">
        <f aca="false">COUNTIFS(借閱!$B$2:$B$2000,$A21,借閱!$D$2:$D$2000,"")</f>
        <v>0</v>
      </c>
      <c r="E21" s="10" t="str">
        <f aca="false">IF(D21&gt;0,"借出中","在店")</f>
        <v>在店</v>
      </c>
      <c r="F21" s="10" t="n">
        <f aca="false">COUNTIF(借閱!$B$2:$B$2000,$A21)</f>
        <v>6</v>
      </c>
      <c r="G21" s="10" t="n">
        <f aca="false">F21+ROW()/100000</f>
        <v>6.00021</v>
      </c>
    </row>
    <row r="22" customFormat="false" ht="15" hidden="false" customHeight="false" outlineLevel="0" collapsed="false">
      <c r="A22" s="7" t="s">
        <v>96</v>
      </c>
      <c r="B22" s="12" t="s">
        <v>205</v>
      </c>
      <c r="C22" s="12" t="s">
        <v>206</v>
      </c>
      <c r="D22" s="13" t="n">
        <f aca="false">COUNTIFS(借閱!$B$2:$B$2000,$A22,借閱!$D$2:$D$2000,"")</f>
        <v>0</v>
      </c>
      <c r="E22" s="10" t="str">
        <f aca="false">IF(D22&gt;0,"借出中","在店")</f>
        <v>在店</v>
      </c>
      <c r="F22" s="10" t="n">
        <f aca="false">COUNTIF(借閱!$B$2:$B$2000,$A22)</f>
        <v>3</v>
      </c>
      <c r="G22" s="10" t="n">
        <f aca="false">F22+ROW()/100000</f>
        <v>3.00022</v>
      </c>
    </row>
    <row r="23" customFormat="false" ht="15" hidden="false" customHeight="false" outlineLevel="0" collapsed="false">
      <c r="A23" s="7" t="s">
        <v>61</v>
      </c>
      <c r="B23" s="12" t="s">
        <v>207</v>
      </c>
      <c r="C23" s="12" t="s">
        <v>208</v>
      </c>
      <c r="D23" s="13" t="n">
        <f aca="false">COUNTIFS(借閱!$B$2:$B$2000,$A23,借閱!$D$2:$D$2000,"")</f>
        <v>1</v>
      </c>
      <c r="E23" s="10" t="str">
        <f aca="false">IF(D23&gt;0,"借出中","在店")</f>
        <v>借出中</v>
      </c>
      <c r="F23" s="10" t="n">
        <f aca="false">COUNTIF(借閱!$B$2:$B$2000,$A23)</f>
        <v>6</v>
      </c>
      <c r="G23" s="10" t="n">
        <f aca="false">F23+ROW()/100000</f>
        <v>6.00023</v>
      </c>
    </row>
    <row r="24" customFormat="false" ht="15" hidden="false" customHeight="false" outlineLevel="0" collapsed="false">
      <c r="A24" s="7" t="s">
        <v>29</v>
      </c>
      <c r="B24" s="12" t="s">
        <v>209</v>
      </c>
      <c r="C24" s="12" t="s">
        <v>210</v>
      </c>
      <c r="D24" s="13" t="n">
        <f aca="false">COUNTIFS(借閱!$B$2:$B$2000,$A24,借閱!$D$2:$D$2000,"")</f>
        <v>0</v>
      </c>
      <c r="E24" s="10" t="str">
        <f aca="false">IF(D24&gt;0,"借出中","在店")</f>
        <v>在店</v>
      </c>
      <c r="F24" s="10" t="n">
        <f aca="false">COUNTIF(借閱!$B$2:$B$2000,$A24)</f>
        <v>5</v>
      </c>
      <c r="G24" s="10" t="n">
        <f aca="false">F24+ROW()/100000</f>
        <v>5.00024</v>
      </c>
    </row>
    <row r="25" customFormat="false" ht="15" hidden="false" customHeight="false" outlineLevel="0" collapsed="false">
      <c r="A25" s="7" t="s">
        <v>159</v>
      </c>
      <c r="B25" s="12" t="s">
        <v>211</v>
      </c>
      <c r="C25" s="12" t="s">
        <v>212</v>
      </c>
      <c r="D25" s="13" t="n">
        <f aca="false">COUNTIFS(借閱!$B$2:$B$2000,$A25,借閱!$D$2:$D$2000,"")</f>
        <v>1</v>
      </c>
      <c r="E25" s="10" t="str">
        <f aca="false">IF(D25&gt;0,"借出中","在店")</f>
        <v>借出中</v>
      </c>
      <c r="F25" s="10" t="n">
        <f aca="false">COUNTIF(借閱!$B$2:$B$2000,$A25)</f>
        <v>4</v>
      </c>
      <c r="G25" s="10" t="n">
        <f aca="false">F25+ROW()/100000</f>
        <v>4.00025</v>
      </c>
    </row>
    <row r="26" customFormat="false" ht="15" hidden="false" customHeight="false" outlineLevel="0" collapsed="false">
      <c r="A26" s="7" t="s">
        <v>76</v>
      </c>
      <c r="B26" s="12" t="s">
        <v>213</v>
      </c>
      <c r="C26" s="12" t="s">
        <v>214</v>
      </c>
      <c r="D26" s="13" t="n">
        <f aca="false">COUNTIFS(借閱!$B$2:$B$2000,$A26,借閱!$D$2:$D$2000,"")</f>
        <v>1</v>
      </c>
      <c r="E26" s="10" t="str">
        <f aca="false">IF(D26&gt;0,"借出中","在店")</f>
        <v>借出中</v>
      </c>
      <c r="F26" s="10" t="n">
        <f aca="false">COUNTIF(借閱!$B$2:$B$2000,$A26)</f>
        <v>6</v>
      </c>
      <c r="G26" s="10" t="n">
        <f aca="false">F26+ROW()/100000</f>
        <v>6.00026</v>
      </c>
    </row>
    <row r="27" customFormat="false" ht="15" hidden="false" customHeight="false" outlineLevel="0" collapsed="false">
      <c r="A27" s="7" t="s">
        <v>85</v>
      </c>
      <c r="B27" s="12" t="s">
        <v>215</v>
      </c>
      <c r="C27" s="12" t="s">
        <v>216</v>
      </c>
      <c r="D27" s="13" t="n">
        <f aca="false">COUNTIFS(借閱!$B$2:$B$2000,$A27,借閱!$D$2:$D$2000,"")</f>
        <v>0</v>
      </c>
      <c r="E27" s="10" t="str">
        <f aca="false">IF(D27&gt;0,"借出中","在店")</f>
        <v>在店</v>
      </c>
      <c r="F27" s="10" t="n">
        <f aca="false">COUNTIF(借閱!$B$2:$B$2000,$A27)</f>
        <v>2</v>
      </c>
      <c r="G27" s="10" t="n">
        <f aca="false">F27+ROW()/100000</f>
        <v>2.00027</v>
      </c>
    </row>
    <row r="28" customFormat="false" ht="15" hidden="false" customHeight="false" outlineLevel="0" collapsed="false">
      <c r="A28" s="7" t="s">
        <v>134</v>
      </c>
      <c r="B28" s="12" t="s">
        <v>217</v>
      </c>
      <c r="C28" s="12" t="s">
        <v>218</v>
      </c>
      <c r="D28" s="13" t="n">
        <f aca="false">COUNTIFS(借閱!$B$2:$B$2000,$A28,借閱!$D$2:$D$2000,"")</f>
        <v>1</v>
      </c>
      <c r="E28" s="10" t="str">
        <f aca="false">IF(D28&gt;0,"借出中","在店")</f>
        <v>借出中</v>
      </c>
      <c r="F28" s="10" t="n">
        <f aca="false">COUNTIF(借閱!$B$2:$B$2000,$A28)</f>
        <v>6</v>
      </c>
      <c r="G28" s="10" t="n">
        <f aca="false">F28+ROW()/100000</f>
        <v>6.00028</v>
      </c>
    </row>
    <row r="29" customFormat="false" ht="15" hidden="false" customHeight="false" outlineLevel="0" collapsed="false">
      <c r="A29" s="7" t="s">
        <v>108</v>
      </c>
      <c r="B29" s="12" t="s">
        <v>219</v>
      </c>
      <c r="C29" s="12" t="s">
        <v>220</v>
      </c>
      <c r="D29" s="13" t="n">
        <f aca="false">COUNTIFS(借閱!$B$2:$B$2000,$A29,借閱!$D$2:$D$2000,"")</f>
        <v>0</v>
      </c>
      <c r="E29" s="10" t="str">
        <f aca="false">IF(D29&gt;0,"借出中","在店")</f>
        <v>在店</v>
      </c>
      <c r="F29" s="10" t="n">
        <f aca="false">COUNTIF(借閱!$B$2:$B$2000,$A29)</f>
        <v>5</v>
      </c>
      <c r="G29" s="10" t="n">
        <f aca="false">F29+ROW()/100000</f>
        <v>5.00029</v>
      </c>
    </row>
    <row r="30" customFormat="false" ht="15" hidden="false" customHeight="false" outlineLevel="0" collapsed="false">
      <c r="A30" s="7" t="s">
        <v>124</v>
      </c>
      <c r="B30" s="12" t="s">
        <v>221</v>
      </c>
      <c r="C30" s="12" t="s">
        <v>222</v>
      </c>
      <c r="D30" s="13" t="n">
        <f aca="false">COUNTIFS(借閱!$B$2:$B$2000,$A30,借閱!$D$2:$D$2000,"")</f>
        <v>0</v>
      </c>
      <c r="E30" s="10" t="str">
        <f aca="false">IF(D30&gt;0,"借出中","在店")</f>
        <v>在店</v>
      </c>
      <c r="F30" s="10" t="n">
        <f aca="false">COUNTIF(借閱!$B$2:$B$2000,$A30)</f>
        <v>3</v>
      </c>
      <c r="G30" s="10" t="n">
        <f aca="false">F30+ROW()/100000</f>
        <v>3.0003</v>
      </c>
    </row>
    <row r="31" customFormat="false" ht="15" hidden="false" customHeight="false" outlineLevel="0" collapsed="false">
      <c r="A31" s="7" t="s">
        <v>59</v>
      </c>
      <c r="B31" s="12" t="s">
        <v>223</v>
      </c>
      <c r="C31" s="12" t="s">
        <v>224</v>
      </c>
      <c r="D31" s="13" t="n">
        <f aca="false">COUNTIFS(借閱!$B$2:$B$2000,$A31,借閱!$D$2:$D$2000,"")</f>
        <v>1</v>
      </c>
      <c r="E31" s="10" t="str">
        <f aca="false">IF(D31&gt;0,"借出中","在店")</f>
        <v>借出中</v>
      </c>
      <c r="F31" s="10" t="n">
        <f aca="false">COUNTIF(借閱!$B$2:$B$2000,$A31)</f>
        <v>6</v>
      </c>
      <c r="G31" s="10" t="n">
        <f aca="false">F31+ROW()/100000</f>
        <v>6.00031</v>
      </c>
    </row>
    <row r="32" customFormat="false" ht="15" hidden="false" customHeight="false" outlineLevel="0" collapsed="false">
      <c r="A32" s="7" t="s">
        <v>105</v>
      </c>
      <c r="B32" s="12" t="s">
        <v>225</v>
      </c>
      <c r="C32" s="12" t="s">
        <v>226</v>
      </c>
      <c r="D32" s="13" t="n">
        <f aca="false">COUNTIFS(借閱!$B$2:$B$2000,$A32,借閱!$D$2:$D$2000,"")</f>
        <v>1</v>
      </c>
      <c r="E32" s="10" t="str">
        <f aca="false">IF(D32&gt;0,"借出中","在店")</f>
        <v>借出中</v>
      </c>
      <c r="F32" s="10" t="n">
        <f aca="false">COUNTIF(借閱!$B$2:$B$2000,$A32)</f>
        <v>4</v>
      </c>
      <c r="G32" s="10" t="n">
        <f aca="false">F32+ROW()/100000</f>
        <v>4.00032</v>
      </c>
    </row>
    <row r="33" customFormat="false" ht="15" hidden="false" customHeight="false" outlineLevel="0" collapsed="false">
      <c r="A33" s="7" t="s">
        <v>125</v>
      </c>
      <c r="B33" s="12" t="s">
        <v>227</v>
      </c>
      <c r="C33" s="12" t="s">
        <v>228</v>
      </c>
      <c r="D33" s="13" t="n">
        <f aca="false">COUNTIFS(借閱!$B$2:$B$2000,$A33,借閱!$D$2:$D$2000,"")</f>
        <v>1</v>
      </c>
      <c r="E33" s="10" t="str">
        <f aca="false">IF(D33&gt;0,"借出中","在店")</f>
        <v>借出中</v>
      </c>
      <c r="F33" s="10" t="n">
        <f aca="false">COUNTIF(借閱!$B$2:$B$2000,$A33)</f>
        <v>6</v>
      </c>
      <c r="G33" s="10" t="n">
        <f aca="false">F33+ROW()/100000</f>
        <v>6.00033</v>
      </c>
    </row>
    <row r="34" customFormat="false" ht="15" hidden="false" customHeight="false" outlineLevel="0" collapsed="false">
      <c r="A34" s="7" t="s">
        <v>94</v>
      </c>
      <c r="B34" s="12" t="s">
        <v>229</v>
      </c>
      <c r="C34" s="12" t="s">
        <v>230</v>
      </c>
      <c r="D34" s="13" t="n">
        <f aca="false">COUNTIFS(借閱!$B$2:$B$2000,$A34,借閱!$D$2:$D$2000,"")</f>
        <v>1</v>
      </c>
      <c r="E34" s="10" t="str">
        <f aca="false">IF(D34&gt;0,"借出中","在店")</f>
        <v>借出中</v>
      </c>
      <c r="F34" s="10" t="n">
        <f aca="false">COUNTIF(借閱!$B$2:$B$2000,$A34)</f>
        <v>5</v>
      </c>
      <c r="G34" s="10" t="n">
        <f aca="false">F34+ROW()/100000</f>
        <v>5.00034</v>
      </c>
    </row>
    <row r="35" customFormat="false" ht="15" hidden="false" customHeight="false" outlineLevel="0" collapsed="false">
      <c r="A35" s="7" t="s">
        <v>150</v>
      </c>
      <c r="B35" s="12" t="s">
        <v>231</v>
      </c>
      <c r="C35" s="12" t="s">
        <v>232</v>
      </c>
      <c r="D35" s="13" t="n">
        <f aca="false">COUNTIFS(借閱!$B$2:$B$2000,$A35,借閱!$D$2:$D$2000,"")</f>
        <v>1</v>
      </c>
      <c r="E35" s="10" t="str">
        <f aca="false">IF(D35&gt;0,"借出中","在店")</f>
        <v>借出中</v>
      </c>
      <c r="F35" s="10" t="n">
        <f aca="false">COUNTIF(借閱!$B$2:$B$2000,$A35)</f>
        <v>6</v>
      </c>
      <c r="G35" s="10" t="n">
        <f aca="false">F35+ROW()/100000</f>
        <v>6.00035</v>
      </c>
    </row>
    <row r="36" customFormat="false" ht="15" hidden="false" customHeight="false" outlineLevel="0" collapsed="false">
      <c r="A36" s="7" t="s">
        <v>141</v>
      </c>
      <c r="B36" s="12" t="s">
        <v>233</v>
      </c>
      <c r="C36" s="12" t="s">
        <v>234</v>
      </c>
      <c r="D36" s="13" t="n">
        <f aca="false">COUNTIFS(借閱!$B$2:$B$2000,$A36,借閱!$D$2:$D$2000,"")</f>
        <v>0</v>
      </c>
      <c r="E36" s="10" t="str">
        <f aca="false">IF(D36&gt;0,"借出中","在店")</f>
        <v>在店</v>
      </c>
      <c r="F36" s="10" t="n">
        <f aca="false">COUNTIF(借閱!$B$2:$B$2000,$A36)</f>
        <v>4</v>
      </c>
      <c r="G36" s="10" t="n">
        <f aca="false">F36+ROW()/100000</f>
        <v>4.00036</v>
      </c>
    </row>
    <row r="37" customFormat="false" ht="15" hidden="false" customHeight="false" outlineLevel="0" collapsed="false">
      <c r="A37" s="7" t="s">
        <v>152</v>
      </c>
      <c r="B37" s="12" t="s">
        <v>235</v>
      </c>
      <c r="C37" s="12" t="s">
        <v>236</v>
      </c>
      <c r="D37" s="13" t="n">
        <f aca="false">COUNTIFS(借閱!$B$2:$B$2000,$A37,借閱!$D$2:$D$2000,"")</f>
        <v>0</v>
      </c>
      <c r="E37" s="10" t="str">
        <f aca="false">IF(D37&gt;0,"借出中","在店")</f>
        <v>在店</v>
      </c>
      <c r="F37" s="10" t="n">
        <f aca="false">COUNTIF(借閱!$B$2:$B$2000,$A37)</f>
        <v>4</v>
      </c>
      <c r="G37" s="10" t="n">
        <f aca="false">F37+ROW()/100000</f>
        <v>4.00037</v>
      </c>
    </row>
    <row r="38" customFormat="false" ht="15" hidden="false" customHeight="false" outlineLevel="0" collapsed="false">
      <c r="A38" s="7" t="s">
        <v>53</v>
      </c>
      <c r="B38" s="12" t="s">
        <v>237</v>
      </c>
      <c r="C38" s="12" t="s">
        <v>238</v>
      </c>
      <c r="D38" s="13" t="n">
        <f aca="false">COUNTIFS(借閱!$B$2:$B$2000,$A38,借閱!$D$2:$D$2000,"")</f>
        <v>1</v>
      </c>
      <c r="E38" s="10" t="str">
        <f aca="false">IF(D38&gt;0,"借出中","在店")</f>
        <v>借出中</v>
      </c>
      <c r="F38" s="10" t="n">
        <f aca="false">COUNTIF(借閱!$B$2:$B$2000,$A38)</f>
        <v>6</v>
      </c>
      <c r="G38" s="10" t="n">
        <f aca="false">F38+ROW()/100000</f>
        <v>6.00038</v>
      </c>
    </row>
    <row r="39" customFormat="false" ht="15" hidden="false" customHeight="false" outlineLevel="0" collapsed="false">
      <c r="A39" s="7" t="s">
        <v>109</v>
      </c>
      <c r="B39" s="12" t="s">
        <v>239</v>
      </c>
      <c r="C39" s="12" t="s">
        <v>240</v>
      </c>
      <c r="D39" s="13" t="n">
        <f aca="false">COUNTIFS(借閱!$B$2:$B$2000,$A39,借閱!$D$2:$D$2000,"")</f>
        <v>0</v>
      </c>
      <c r="E39" s="10" t="str">
        <f aca="false">IF(D39&gt;0,"借出中","在店")</f>
        <v>在店</v>
      </c>
      <c r="F39" s="10" t="n">
        <f aca="false">COUNTIF(借閱!$B$2:$B$2000,$A39)</f>
        <v>2</v>
      </c>
      <c r="G39" s="10" t="n">
        <f aca="false">F39+ROW()/100000</f>
        <v>2.00039</v>
      </c>
    </row>
    <row r="40" customFormat="false" ht="15" hidden="false" customHeight="false" outlineLevel="0" collapsed="false">
      <c r="A40" s="7" t="s">
        <v>55</v>
      </c>
      <c r="B40" s="12" t="s">
        <v>241</v>
      </c>
      <c r="C40" s="12" t="s">
        <v>242</v>
      </c>
      <c r="D40" s="13" t="n">
        <f aca="false">COUNTIFS(借閱!$B$2:$B$2000,$A40,借閱!$D$2:$D$2000,"")</f>
        <v>1</v>
      </c>
      <c r="E40" s="10" t="str">
        <f aca="false">IF(D40&gt;0,"借出中","在店")</f>
        <v>借出中</v>
      </c>
      <c r="F40" s="10" t="n">
        <f aca="false">COUNTIF(借閱!$B$2:$B$2000,$A40)</f>
        <v>5</v>
      </c>
      <c r="G40" s="10" t="n">
        <f aca="false">F40+ROW()/100000</f>
        <v>5.0004</v>
      </c>
    </row>
    <row r="41" customFormat="false" ht="15" hidden="false" customHeight="false" outlineLevel="0" collapsed="false">
      <c r="A41" s="7" t="s">
        <v>23</v>
      </c>
      <c r="B41" s="12" t="s">
        <v>243</v>
      </c>
      <c r="C41" s="12" t="s">
        <v>244</v>
      </c>
      <c r="D41" s="13" t="n">
        <f aca="false">COUNTIFS(借閱!$B$2:$B$2000,$A41,借閱!$D$2:$D$2000,"")</f>
        <v>0</v>
      </c>
      <c r="E41" s="10" t="str">
        <f aca="false">IF(D41&gt;0,"借出中","在店")</f>
        <v>在店</v>
      </c>
      <c r="F41" s="10" t="n">
        <f aca="false">COUNTIF(借閱!$B$2:$B$2000,$A41)</f>
        <v>4</v>
      </c>
      <c r="G41" s="10" t="n">
        <f aca="false">F41+ROW()/100000</f>
        <v>4.00041</v>
      </c>
    </row>
    <row r="42" customFormat="false" ht="15" hidden="false" customHeight="false" outlineLevel="0" collapsed="false">
      <c r="A42" s="7" t="s">
        <v>136</v>
      </c>
      <c r="B42" s="12" t="s">
        <v>245</v>
      </c>
      <c r="C42" s="12" t="s">
        <v>236</v>
      </c>
      <c r="D42" s="13" t="n">
        <f aca="false">COUNTIFS(借閱!$B$2:$B$2000,$A42,借閱!$D$2:$D$2000,"")</f>
        <v>0</v>
      </c>
      <c r="E42" s="10" t="str">
        <f aca="false">IF(D42&gt;0,"借出中","在店")</f>
        <v>在店</v>
      </c>
      <c r="F42" s="10" t="n">
        <f aca="false">COUNTIF(借閱!$B$2:$B$2000,$A42)</f>
        <v>4</v>
      </c>
      <c r="G42" s="10" t="n">
        <f aca="false">F42+ROW()/100000</f>
        <v>4.00042</v>
      </c>
    </row>
    <row r="43" customFormat="false" ht="15" hidden="false" customHeight="false" outlineLevel="0" collapsed="false">
      <c r="A43" s="7" t="s">
        <v>123</v>
      </c>
      <c r="B43" s="12" t="s">
        <v>233</v>
      </c>
      <c r="C43" s="12" t="s">
        <v>246</v>
      </c>
      <c r="D43" s="13" t="n">
        <f aca="false">COUNTIFS(借閱!$B$2:$B$2000,$A43,借閱!$D$2:$D$2000,"")</f>
        <v>0</v>
      </c>
      <c r="E43" s="10" t="str">
        <f aca="false">IF(D43&gt;0,"借出中","在店")</f>
        <v>在店</v>
      </c>
      <c r="F43" s="10" t="n">
        <f aca="false">COUNTIF(借閱!$B$2:$B$2000,$A43)</f>
        <v>1</v>
      </c>
      <c r="G43" s="10" t="n">
        <f aca="false">F43+ROW()/100000</f>
        <v>1.00043</v>
      </c>
    </row>
    <row r="44" customFormat="false" ht="15" hidden="false" customHeight="false" outlineLevel="0" collapsed="false">
      <c r="A44" s="7" t="s">
        <v>103</v>
      </c>
      <c r="B44" s="12" t="s">
        <v>247</v>
      </c>
      <c r="C44" s="12" t="s">
        <v>248</v>
      </c>
      <c r="D44" s="13" t="n">
        <f aca="false">COUNTIFS(借閱!$B$2:$B$2000,$A44,借閱!$D$2:$D$2000,"")</f>
        <v>0</v>
      </c>
      <c r="E44" s="10" t="str">
        <f aca="false">IF(D44&gt;0,"借出中","在店")</f>
        <v>在店</v>
      </c>
      <c r="F44" s="10" t="n">
        <f aca="false">COUNTIF(借閱!$B$2:$B$2000,$A44)</f>
        <v>7</v>
      </c>
      <c r="G44" s="10" t="n">
        <f aca="false">F44+ROW()/100000</f>
        <v>7.00044</v>
      </c>
    </row>
    <row r="45" customFormat="false" ht="15" hidden="false" customHeight="false" outlineLevel="0" collapsed="false">
      <c r="A45" s="7" t="s">
        <v>139</v>
      </c>
      <c r="B45" s="12" t="s">
        <v>249</v>
      </c>
      <c r="C45" s="12" t="s">
        <v>250</v>
      </c>
      <c r="D45" s="13" t="n">
        <f aca="false">COUNTIFS(借閱!$B$2:$B$2000,$A45,借閱!$D$2:$D$2000,"")</f>
        <v>0</v>
      </c>
      <c r="E45" s="10" t="str">
        <f aca="false">IF(D45&gt;0,"借出中","在店")</f>
        <v>在店</v>
      </c>
      <c r="F45" s="10" t="n">
        <f aca="false">COUNTIF(借閱!$B$2:$B$2000,$A45)</f>
        <v>6</v>
      </c>
      <c r="G45" s="10" t="n">
        <f aca="false">F45+ROW()/100000</f>
        <v>6.00045</v>
      </c>
    </row>
    <row r="46" customFormat="false" ht="15" hidden="false" customHeight="false" outlineLevel="0" collapsed="false">
      <c r="A46" s="7" t="s">
        <v>48</v>
      </c>
      <c r="B46" s="12" t="s">
        <v>251</v>
      </c>
      <c r="C46" s="12" t="s">
        <v>252</v>
      </c>
      <c r="D46" s="13" t="n">
        <f aca="false">COUNTIFS(借閱!$B$2:$B$2000,$A46,借閱!$D$2:$D$2000,"")</f>
        <v>1</v>
      </c>
      <c r="E46" s="10" t="str">
        <f aca="false">IF(D46&gt;0,"借出中","在店")</f>
        <v>借出中</v>
      </c>
      <c r="F46" s="10" t="n">
        <f aca="false">COUNTIF(借閱!$B$2:$B$2000,$A46)</f>
        <v>6</v>
      </c>
      <c r="G46" s="10" t="n">
        <f aca="false">F46+ROW()/100000</f>
        <v>6.00046</v>
      </c>
    </row>
    <row r="47" customFormat="false" ht="15" hidden="false" customHeight="false" outlineLevel="0" collapsed="false">
      <c r="A47" s="7" t="s">
        <v>148</v>
      </c>
      <c r="B47" s="12" t="s">
        <v>253</v>
      </c>
      <c r="C47" s="12" t="s">
        <v>254</v>
      </c>
      <c r="D47" s="13" t="n">
        <f aca="false">COUNTIFS(借閱!$B$2:$B$2000,$A47,借閱!$D$2:$D$2000,"")</f>
        <v>0</v>
      </c>
      <c r="E47" s="10" t="str">
        <f aca="false">IF(D47&gt;0,"借出中","在店")</f>
        <v>在店</v>
      </c>
      <c r="F47" s="10" t="n">
        <f aca="false">COUNTIF(借閱!$B$2:$B$2000,$A47)</f>
        <v>4</v>
      </c>
      <c r="G47" s="10" t="n">
        <f aca="false">F47+ROW()/100000</f>
        <v>4.00047</v>
      </c>
    </row>
    <row r="48" customFormat="false" ht="15" hidden="false" customHeight="false" outlineLevel="0" collapsed="false">
      <c r="A48" s="7" t="s">
        <v>111</v>
      </c>
      <c r="B48" s="12" t="s">
        <v>255</v>
      </c>
      <c r="C48" s="12" t="s">
        <v>256</v>
      </c>
      <c r="D48" s="13" t="n">
        <f aca="false">COUNTIFS(借閱!$B$2:$B$2000,$A48,借閱!$D$2:$D$2000,"")</f>
        <v>0</v>
      </c>
      <c r="E48" s="10" t="str">
        <f aca="false">IF(D48&gt;0,"借出中","在店")</f>
        <v>在店</v>
      </c>
      <c r="F48" s="10" t="n">
        <f aca="false">COUNTIF(借閱!$B$2:$B$2000,$A48)</f>
        <v>4</v>
      </c>
      <c r="G48" s="10" t="n">
        <f aca="false">F48+ROW()/100000</f>
        <v>4.00048</v>
      </c>
    </row>
    <row r="49" customFormat="false" ht="15" hidden="false" customHeight="false" outlineLevel="0" collapsed="false">
      <c r="A49" s="7" t="s">
        <v>128</v>
      </c>
      <c r="B49" s="12" t="s">
        <v>257</v>
      </c>
      <c r="C49" s="12" t="s">
        <v>258</v>
      </c>
      <c r="D49" s="13" t="n">
        <f aca="false">COUNTIFS(借閱!$B$2:$B$2000,$A49,借閱!$D$2:$D$2000,"")</f>
        <v>0</v>
      </c>
      <c r="E49" s="10" t="str">
        <f aca="false">IF(D49&gt;0,"借出中","在店")</f>
        <v>在店</v>
      </c>
      <c r="F49" s="10" t="n">
        <f aca="false">COUNTIF(借閱!$B$2:$B$2000,$A49)</f>
        <v>7</v>
      </c>
      <c r="G49" s="10" t="n">
        <f aca="false">F49+ROW()/100000</f>
        <v>7.00049</v>
      </c>
    </row>
    <row r="50" customFormat="false" ht="15" hidden="false" customHeight="false" outlineLevel="0" collapsed="false">
      <c r="A50" s="7" t="s">
        <v>147</v>
      </c>
      <c r="B50" s="12" t="s">
        <v>259</v>
      </c>
      <c r="C50" s="12" t="s">
        <v>260</v>
      </c>
      <c r="D50" s="13" t="n">
        <f aca="false">COUNTIFS(借閱!$B$2:$B$2000,$A50,借閱!$D$2:$D$2000,"")</f>
        <v>0</v>
      </c>
      <c r="E50" s="10" t="str">
        <f aca="false">IF(D50&gt;0,"借出中","在店")</f>
        <v>在店</v>
      </c>
      <c r="F50" s="10" t="n">
        <f aca="false">COUNTIF(借閱!$B$2:$B$2000,$A50)</f>
        <v>3</v>
      </c>
      <c r="G50" s="10" t="n">
        <f aca="false">F50+ROW()/100000</f>
        <v>3.0005</v>
      </c>
    </row>
    <row r="51" customFormat="false" ht="15" hidden="false" customHeight="false" outlineLevel="0" collapsed="false">
      <c r="A51" s="7" t="s">
        <v>31</v>
      </c>
      <c r="B51" s="12" t="s">
        <v>261</v>
      </c>
      <c r="C51" s="12" t="s">
        <v>262</v>
      </c>
      <c r="D51" s="13" t="n">
        <f aca="false">COUNTIFS(借閱!$B$2:$B$2000,$A51,借閱!$D$2:$D$2000,"")</f>
        <v>1</v>
      </c>
      <c r="E51" s="10" t="str">
        <f aca="false">IF(D51&gt;0,"借出中","在店")</f>
        <v>借出中</v>
      </c>
      <c r="F51" s="10" t="n">
        <f aca="false">COUNTIF(借閱!$B$2:$B$2000,$A51)</f>
        <v>7</v>
      </c>
      <c r="G51" s="10" t="n">
        <f aca="false">F51+ROW()/100000</f>
        <v>7.00051</v>
      </c>
    </row>
    <row r="52" customFormat="false" ht="15" hidden="false" customHeight="false" outlineLevel="0" collapsed="false">
      <c r="A52" s="7" t="s">
        <v>86</v>
      </c>
      <c r="B52" s="12" t="s">
        <v>263</v>
      </c>
      <c r="C52" s="12" t="s">
        <v>264</v>
      </c>
      <c r="D52" s="13" t="n">
        <f aca="false">COUNTIFS(借閱!$B$2:$B$2000,$A52,借閱!$D$2:$D$2000,"")</f>
        <v>0</v>
      </c>
      <c r="E52" s="10" t="str">
        <f aca="false">IF(D52&gt;0,"借出中","在店")</f>
        <v>在店</v>
      </c>
      <c r="F52" s="10" t="n">
        <f aca="false">COUNTIF(借閱!$B$2:$B$2000,$A52)</f>
        <v>4</v>
      </c>
      <c r="G52" s="10" t="n">
        <f aca="false">F52+ROW()/100000</f>
        <v>4.00052</v>
      </c>
    </row>
    <row r="53" customFormat="false" ht="15" hidden="false" customHeight="false" outlineLevel="0" collapsed="false">
      <c r="A53" s="7" t="s">
        <v>112</v>
      </c>
      <c r="B53" s="12" t="s">
        <v>265</v>
      </c>
      <c r="C53" s="12" t="s">
        <v>266</v>
      </c>
      <c r="D53" s="13" t="n">
        <f aca="false">COUNTIFS(借閱!$B$2:$B$2000,$A53,借閱!$D$2:$D$2000,"")</f>
        <v>1</v>
      </c>
      <c r="E53" s="10" t="str">
        <f aca="false">IF(D53&gt;0,"借出中","在店")</f>
        <v>借出中</v>
      </c>
      <c r="F53" s="10" t="n">
        <f aca="false">COUNTIF(借閱!$B$2:$B$2000,$A53)</f>
        <v>7</v>
      </c>
      <c r="G53" s="10" t="n">
        <f aca="false">F53+ROW()/100000</f>
        <v>7.00053</v>
      </c>
    </row>
    <row r="54" customFormat="false" ht="15" hidden="false" customHeight="false" outlineLevel="0" collapsed="false">
      <c r="A54" s="7" t="s">
        <v>79</v>
      </c>
      <c r="B54" s="12" t="s">
        <v>267</v>
      </c>
      <c r="C54" s="12" t="s">
        <v>268</v>
      </c>
      <c r="D54" s="13" t="n">
        <f aca="false">COUNTIFS(借閱!$B$2:$B$2000,$A54,借閱!$D$2:$D$2000,"")</f>
        <v>0</v>
      </c>
      <c r="E54" s="10" t="str">
        <f aca="false">IF(D54&gt;0,"借出中","在店")</f>
        <v>在店</v>
      </c>
      <c r="F54" s="10" t="n">
        <f aca="false">COUNTIF(借閱!$B$2:$B$2000,$A54)</f>
        <v>4</v>
      </c>
      <c r="G54" s="10" t="n">
        <f aca="false">F54+ROW()/100000</f>
        <v>4.00054</v>
      </c>
    </row>
    <row r="55" customFormat="false" ht="15" hidden="false" customHeight="false" outlineLevel="0" collapsed="false">
      <c r="A55" s="7" t="s">
        <v>151</v>
      </c>
      <c r="B55" s="12" t="s">
        <v>269</v>
      </c>
      <c r="C55" s="12" t="s">
        <v>270</v>
      </c>
      <c r="D55" s="13" t="n">
        <f aca="false">COUNTIFS(借閱!$B$2:$B$2000,$A55,借閱!$D$2:$D$2000,"")</f>
        <v>1</v>
      </c>
      <c r="E55" s="10" t="str">
        <f aca="false">IF(D55&gt;0,"借出中","在店")</f>
        <v>借出中</v>
      </c>
      <c r="F55" s="10" t="n">
        <f aca="false">COUNTIF(借閱!$B$2:$B$2000,$A55)</f>
        <v>5</v>
      </c>
      <c r="G55" s="10" t="n">
        <f aca="false">F55+ROW()/100000</f>
        <v>5.00055</v>
      </c>
    </row>
    <row r="56" customFormat="false" ht="15" hidden="false" customHeight="false" outlineLevel="0" collapsed="false">
      <c r="A56" s="7" t="s">
        <v>120</v>
      </c>
      <c r="B56" s="12" t="s">
        <v>271</v>
      </c>
      <c r="C56" s="12" t="s">
        <v>272</v>
      </c>
      <c r="D56" s="13" t="n">
        <f aca="false">COUNTIFS(借閱!$B$2:$B$2000,$A56,借閱!$D$2:$D$2000,"")</f>
        <v>1</v>
      </c>
      <c r="E56" s="10" t="str">
        <f aca="false">IF(D56&gt;0,"借出中","在店")</f>
        <v>借出中</v>
      </c>
      <c r="F56" s="10" t="n">
        <f aca="false">COUNTIF(借閱!$B$2:$B$2000,$A56)</f>
        <v>6</v>
      </c>
      <c r="G56" s="10" t="n">
        <f aca="false">F56+ROW()/100000</f>
        <v>6.00056</v>
      </c>
    </row>
    <row r="57" customFormat="false" ht="15" hidden="false" customHeight="false" outlineLevel="0" collapsed="false">
      <c r="A57" s="7" t="s">
        <v>133</v>
      </c>
      <c r="B57" s="12" t="s">
        <v>273</v>
      </c>
      <c r="C57" s="12" t="s">
        <v>274</v>
      </c>
      <c r="D57" s="13" t="n">
        <f aca="false">COUNTIFS(借閱!$B$2:$B$2000,$A57,借閱!$D$2:$D$2000,"")</f>
        <v>1</v>
      </c>
      <c r="E57" s="10" t="str">
        <f aca="false">IF(D57&gt;0,"借出中","在店")</f>
        <v>借出中</v>
      </c>
      <c r="F57" s="10" t="n">
        <f aca="false">COUNTIF(借閱!$B$2:$B$2000,$A57)</f>
        <v>5</v>
      </c>
      <c r="G57" s="10" t="n">
        <f aca="false">F57+ROW()/100000</f>
        <v>5.00057</v>
      </c>
    </row>
    <row r="58" customFormat="false" ht="15" hidden="false" customHeight="false" outlineLevel="0" collapsed="false">
      <c r="A58" s="7" t="s">
        <v>39</v>
      </c>
      <c r="B58" s="12" t="s">
        <v>275</v>
      </c>
      <c r="C58" s="12" t="s">
        <v>276</v>
      </c>
      <c r="D58" s="13" t="n">
        <f aca="false">COUNTIFS(借閱!$B$2:$B$2000,$A58,借閱!$D$2:$D$2000,"")</f>
        <v>1</v>
      </c>
      <c r="E58" s="10" t="str">
        <f aca="false">IF(D58&gt;0,"借出中","在店")</f>
        <v>借出中</v>
      </c>
      <c r="F58" s="10" t="n">
        <f aca="false">COUNTIF(借閱!$B$2:$B$2000,$A58)</f>
        <v>7</v>
      </c>
      <c r="G58" s="10" t="n">
        <f aca="false">F58+ROW()/100000</f>
        <v>7.00058</v>
      </c>
    </row>
    <row r="59" customFormat="false" ht="15" hidden="false" customHeight="false" outlineLevel="0" collapsed="false">
      <c r="A59" s="7" t="s">
        <v>114</v>
      </c>
      <c r="B59" s="12" t="s">
        <v>277</v>
      </c>
      <c r="C59" s="12" t="s">
        <v>278</v>
      </c>
      <c r="D59" s="13" t="n">
        <f aca="false">COUNTIFS(借閱!$B$2:$B$2000,$A59,借閱!$D$2:$D$2000,"")</f>
        <v>0</v>
      </c>
      <c r="E59" s="10" t="str">
        <f aca="false">IF(D59&gt;0,"借出中","在店")</f>
        <v>在店</v>
      </c>
      <c r="F59" s="10" t="n">
        <f aca="false">COUNTIF(借閱!$B$2:$B$2000,$A59)</f>
        <v>4</v>
      </c>
      <c r="G59" s="10" t="n">
        <f aca="false">F59+ROW()/100000</f>
        <v>4.00059</v>
      </c>
    </row>
    <row r="60" customFormat="false" ht="15" hidden="false" customHeight="false" outlineLevel="0" collapsed="false">
      <c r="A60" s="7" t="s">
        <v>146</v>
      </c>
      <c r="B60" s="12" t="s">
        <v>279</v>
      </c>
      <c r="C60" s="12" t="s">
        <v>280</v>
      </c>
      <c r="D60" s="13" t="n">
        <f aca="false">COUNTIFS(借閱!$B$2:$B$2000,$A60,借閱!$D$2:$D$2000,"")</f>
        <v>0</v>
      </c>
      <c r="E60" s="10" t="str">
        <f aca="false">IF(D60&gt;0,"借出中","在店")</f>
        <v>在店</v>
      </c>
      <c r="F60" s="10" t="n">
        <f aca="false">COUNTIF(借閱!$B$2:$B$2000,$A60)</f>
        <v>2</v>
      </c>
      <c r="G60" s="10" t="n">
        <f aca="false">F60+ROW()/100000</f>
        <v>2.0006</v>
      </c>
    </row>
    <row r="61" customFormat="false" ht="15" hidden="false" customHeight="false" outlineLevel="0" collapsed="false">
      <c r="A61" s="7" t="s">
        <v>153</v>
      </c>
      <c r="B61" s="12" t="s">
        <v>257</v>
      </c>
      <c r="C61" s="12" t="s">
        <v>281</v>
      </c>
      <c r="D61" s="13" t="n">
        <f aca="false">COUNTIFS(借閱!$B$2:$B$2000,$A61,借閱!$D$2:$D$2000,"")</f>
        <v>1</v>
      </c>
      <c r="E61" s="10" t="str">
        <f aca="false">IF(D61&gt;0,"借出中","在店")</f>
        <v>借出中</v>
      </c>
      <c r="F61" s="10" t="n">
        <f aca="false">COUNTIF(借閱!$B$2:$B$2000,$A61)</f>
        <v>4</v>
      </c>
      <c r="G61" s="10" t="n">
        <f aca="false">F61+ROW()/100000</f>
        <v>4.00061</v>
      </c>
    </row>
    <row r="62" customFormat="false" ht="15" hidden="false" customHeight="false" outlineLevel="0" collapsed="false">
      <c r="A62" s="7" t="s">
        <v>135</v>
      </c>
      <c r="B62" s="12" t="s">
        <v>282</v>
      </c>
      <c r="C62" s="12" t="s">
        <v>283</v>
      </c>
      <c r="D62" s="13" t="n">
        <f aca="false">COUNTIFS(借閱!$B$2:$B$2000,$A62,借閱!$D$2:$D$2000,"")</f>
        <v>0</v>
      </c>
      <c r="E62" s="10" t="str">
        <f aca="false">IF(D62&gt;0,"借出中","在店")</f>
        <v>在店</v>
      </c>
      <c r="F62" s="10" t="n">
        <f aca="false">COUNTIF(借閱!$B$2:$B$2000,$A62)</f>
        <v>8</v>
      </c>
      <c r="G62" s="10" t="n">
        <f aca="false">F62+ROW()/100000</f>
        <v>8.00062</v>
      </c>
    </row>
    <row r="63" customFormat="false" ht="15" hidden="false" customHeight="false" outlineLevel="0" collapsed="false">
      <c r="A63" s="7" t="s">
        <v>145</v>
      </c>
      <c r="B63" s="12" t="s">
        <v>284</v>
      </c>
      <c r="C63" s="12" t="s">
        <v>285</v>
      </c>
      <c r="D63" s="13" t="n">
        <f aca="false">COUNTIFS(借閱!$B$2:$B$2000,$A63,借閱!$D$2:$D$2000,"")</f>
        <v>1</v>
      </c>
      <c r="E63" s="10" t="str">
        <f aca="false">IF(D63&gt;0,"借出中","在店")</f>
        <v>借出中</v>
      </c>
      <c r="F63" s="10" t="n">
        <f aca="false">COUNTIF(借閱!$B$2:$B$2000,$A63)</f>
        <v>5</v>
      </c>
      <c r="G63" s="10" t="n">
        <f aca="false">F63+ROW()/100000</f>
        <v>5.00063</v>
      </c>
    </row>
    <row r="64" customFormat="false" ht="15" hidden="false" customHeight="false" outlineLevel="0" collapsed="false">
      <c r="A64" s="7" t="s">
        <v>157</v>
      </c>
      <c r="B64" s="12" t="s">
        <v>286</v>
      </c>
      <c r="C64" s="12" t="s">
        <v>272</v>
      </c>
      <c r="D64" s="13" t="n">
        <f aca="false">COUNTIFS(借閱!$B$2:$B$2000,$A64,借閱!$D$2:$D$2000,"")</f>
        <v>0</v>
      </c>
      <c r="E64" s="10" t="str">
        <f aca="false">IF(D64&gt;0,"借出中","在店")</f>
        <v>在店</v>
      </c>
      <c r="F64" s="10" t="n">
        <f aca="false">COUNTIF(借閱!$B$2:$B$2000,$A64)</f>
        <v>3</v>
      </c>
      <c r="G64" s="10" t="n">
        <f aca="false">F64+ROW()/100000</f>
        <v>3.00064</v>
      </c>
    </row>
    <row r="65" customFormat="false" ht="15" hidden="false" customHeight="false" outlineLevel="0" collapsed="false">
      <c r="A65" s="7" t="s">
        <v>27</v>
      </c>
      <c r="B65" s="12" t="s">
        <v>287</v>
      </c>
      <c r="C65" s="12" t="s">
        <v>288</v>
      </c>
      <c r="D65" s="13" t="n">
        <f aca="false">COUNTIFS(借閱!$B$2:$B$2000,$A65,借閱!$D$2:$D$2000,"")</f>
        <v>1</v>
      </c>
      <c r="E65" s="10" t="str">
        <f aca="false">IF(D65&gt;0,"借出中","在店")</f>
        <v>借出中</v>
      </c>
      <c r="F65" s="10" t="n">
        <f aca="false">COUNTIF(借閱!$B$2:$B$2000,$A65)</f>
        <v>5</v>
      </c>
      <c r="G65" s="10" t="n">
        <f aca="false">F65+ROW()/100000</f>
        <v>5.00065</v>
      </c>
    </row>
    <row r="66" customFormat="false" ht="15" hidden="false" customHeight="false" outlineLevel="0" collapsed="false">
      <c r="A66" s="7" t="s">
        <v>65</v>
      </c>
      <c r="B66" s="12" t="s">
        <v>289</v>
      </c>
      <c r="C66" s="12" t="s">
        <v>290</v>
      </c>
      <c r="D66" s="13" t="n">
        <f aca="false">COUNTIFS(借閱!$B$2:$B$2000,$A66,借閱!$D$2:$D$2000,"")</f>
        <v>0</v>
      </c>
      <c r="E66" s="10" t="str">
        <f aca="false">IF(D66&gt;0,"借出中","在店")</f>
        <v>在店</v>
      </c>
      <c r="F66" s="10" t="n">
        <f aca="false">COUNTIF(借閱!$B$2:$B$2000,$A66)</f>
        <v>6</v>
      </c>
      <c r="G66" s="10" t="n">
        <f aca="false">F66+ROW()/100000</f>
        <v>6.00066</v>
      </c>
    </row>
    <row r="67" customFormat="false" ht="15" hidden="false" customHeight="false" outlineLevel="0" collapsed="false">
      <c r="A67" s="7" t="s">
        <v>47</v>
      </c>
      <c r="B67" s="12" t="s">
        <v>291</v>
      </c>
      <c r="C67" s="12" t="s">
        <v>292</v>
      </c>
      <c r="D67" s="13" t="n">
        <f aca="false">COUNTIFS(借閱!$B$2:$B$2000,$A67,借閱!$D$2:$D$2000,"")</f>
        <v>1</v>
      </c>
      <c r="E67" s="10" t="str">
        <f aca="false">IF(D67&gt;0,"借出中","在店")</f>
        <v>借出中</v>
      </c>
      <c r="F67" s="10" t="n">
        <f aca="false">COUNTIF(借閱!$B$2:$B$2000,$A67)</f>
        <v>6</v>
      </c>
      <c r="G67" s="10" t="n">
        <f aca="false">F67+ROW()/100000</f>
        <v>6.00067</v>
      </c>
    </row>
    <row r="68" customFormat="false" ht="15" hidden="false" customHeight="false" outlineLevel="0" collapsed="false">
      <c r="A68" s="7" t="s">
        <v>74</v>
      </c>
      <c r="B68" s="12" t="s">
        <v>293</v>
      </c>
      <c r="C68" s="12" t="s">
        <v>294</v>
      </c>
      <c r="D68" s="13" t="n">
        <f aca="false">COUNTIFS(借閱!$B$2:$B$2000,$A68,借閱!$D$2:$D$2000,"")</f>
        <v>1</v>
      </c>
      <c r="E68" s="10" t="str">
        <f aca="false">IF(D68&gt;0,"借出中","在店")</f>
        <v>借出中</v>
      </c>
      <c r="F68" s="10" t="n">
        <f aca="false">COUNTIF(借閱!$B$2:$B$2000,$A68)</f>
        <v>6</v>
      </c>
      <c r="G68" s="10" t="n">
        <f aca="false">F68+ROW()/100000</f>
        <v>6.00068</v>
      </c>
    </row>
    <row r="69" customFormat="false" ht="15" hidden="false" customHeight="false" outlineLevel="0" collapsed="false">
      <c r="A69" s="7" t="s">
        <v>82</v>
      </c>
      <c r="B69" s="12" t="s">
        <v>295</v>
      </c>
      <c r="C69" s="12" t="s">
        <v>240</v>
      </c>
      <c r="D69" s="13" t="n">
        <f aca="false">COUNTIFS(借閱!$B$2:$B$2000,$A69,借閱!$D$2:$D$2000,"")</f>
        <v>0</v>
      </c>
      <c r="E69" s="10" t="str">
        <f aca="false">IF(D69&gt;0,"借出中","在店")</f>
        <v>在店</v>
      </c>
      <c r="F69" s="10" t="n">
        <f aca="false">COUNTIF(借閱!$B$2:$B$2000,$A69)</f>
        <v>5</v>
      </c>
      <c r="G69" s="10" t="n">
        <f aca="false">F69+ROW()/100000</f>
        <v>5.00069</v>
      </c>
    </row>
    <row r="70" customFormat="false" ht="15" hidden="false" customHeight="false" outlineLevel="0" collapsed="false">
      <c r="A70" s="7" t="s">
        <v>98</v>
      </c>
      <c r="B70" s="12" t="s">
        <v>296</v>
      </c>
      <c r="C70" s="12" t="s">
        <v>297</v>
      </c>
      <c r="D70" s="13" t="n">
        <f aca="false">COUNTIFS(借閱!$B$2:$B$2000,$A70,借閱!$D$2:$D$2000,"")</f>
        <v>0</v>
      </c>
      <c r="E70" s="10" t="str">
        <f aca="false">IF(D70&gt;0,"借出中","在店")</f>
        <v>在店</v>
      </c>
      <c r="F70" s="10" t="n">
        <f aca="false">COUNTIF(借閱!$B$2:$B$2000,$A70)</f>
        <v>4</v>
      </c>
      <c r="G70" s="10" t="n">
        <f aca="false">F70+ROW()/100000</f>
        <v>4.0007</v>
      </c>
    </row>
    <row r="71" customFormat="false" ht="15" hidden="false" customHeight="false" outlineLevel="0" collapsed="false">
      <c r="A71" s="7" t="s">
        <v>127</v>
      </c>
      <c r="B71" s="12" t="s">
        <v>298</v>
      </c>
      <c r="C71" s="12" t="s">
        <v>299</v>
      </c>
      <c r="D71" s="13" t="n">
        <f aca="false">COUNTIFS(借閱!$B$2:$B$2000,$A71,借閱!$D$2:$D$2000,"")</f>
        <v>1</v>
      </c>
      <c r="E71" s="10" t="str">
        <f aca="false">IF(D71&gt;0,"借出中","在店")</f>
        <v>借出中</v>
      </c>
      <c r="F71" s="10" t="n">
        <f aca="false">COUNTIF(借閱!$B$2:$B$2000,$A71)</f>
        <v>5</v>
      </c>
      <c r="G71" s="10" t="n">
        <f aca="false">F71+ROW()/100000</f>
        <v>5.00071</v>
      </c>
    </row>
    <row r="72" customFormat="false" ht="15" hidden="false" customHeight="false" outlineLevel="0" collapsed="false">
      <c r="A72" s="7" t="s">
        <v>117</v>
      </c>
      <c r="B72" s="12" t="s">
        <v>300</v>
      </c>
      <c r="C72" s="12" t="s">
        <v>301</v>
      </c>
      <c r="D72" s="13" t="n">
        <f aca="false">COUNTIFS(借閱!$B$2:$B$2000,$A72,借閱!$D$2:$D$2000,"")</f>
        <v>2</v>
      </c>
      <c r="E72" s="10" t="str">
        <f aca="false">IF(D72&gt;0,"借出中","在店")</f>
        <v>借出中</v>
      </c>
      <c r="F72" s="10" t="n">
        <f aca="false">COUNTIF(借閱!$B$2:$B$2000,$A72)</f>
        <v>6</v>
      </c>
      <c r="G72" s="10" t="n">
        <f aca="false">F72+ROW()/100000</f>
        <v>6.00072</v>
      </c>
    </row>
    <row r="73" customFormat="false" ht="15" hidden="false" customHeight="false" outlineLevel="0" collapsed="false">
      <c r="A73" s="7" t="s">
        <v>88</v>
      </c>
      <c r="B73" s="12" t="s">
        <v>302</v>
      </c>
      <c r="C73" s="12" t="s">
        <v>303</v>
      </c>
      <c r="D73" s="13" t="n">
        <f aca="false">COUNTIFS(借閱!$B$2:$B$2000,$A73,借閱!$D$2:$D$2000,"")</f>
        <v>0</v>
      </c>
      <c r="E73" s="10" t="str">
        <f aca="false">IF(D73&gt;0,"借出中","在店")</f>
        <v>在店</v>
      </c>
      <c r="F73" s="10" t="n">
        <f aca="false">COUNTIF(借閱!$B$2:$B$2000,$A73)</f>
        <v>7</v>
      </c>
      <c r="G73" s="10" t="n">
        <f aca="false">F73+ROW()/100000</f>
        <v>7.00073</v>
      </c>
    </row>
    <row r="74" customFormat="false" ht="15" hidden="false" customHeight="false" outlineLevel="0" collapsed="false">
      <c r="A74" s="7" t="s">
        <v>78</v>
      </c>
      <c r="B74" s="12" t="s">
        <v>304</v>
      </c>
      <c r="C74" s="12" t="s">
        <v>305</v>
      </c>
      <c r="D74" s="13" t="n">
        <f aca="false">COUNTIFS(借閱!$B$2:$B$2000,$A74,借閱!$D$2:$D$2000,"")</f>
        <v>0</v>
      </c>
      <c r="E74" s="10" t="str">
        <f aca="false">IF(D74&gt;0,"借出中","在店")</f>
        <v>在店</v>
      </c>
      <c r="F74" s="10" t="n">
        <f aca="false">COUNTIF(借閱!$B$2:$B$2000,$A74)</f>
        <v>4</v>
      </c>
      <c r="G74" s="10" t="n">
        <f aca="false">F74+ROW()/100000</f>
        <v>4.00074</v>
      </c>
    </row>
    <row r="75" customFormat="false" ht="15" hidden="false" customHeight="false" outlineLevel="0" collapsed="false">
      <c r="A75" s="7" t="s">
        <v>92</v>
      </c>
      <c r="B75" s="12" t="s">
        <v>306</v>
      </c>
      <c r="C75" s="12" t="s">
        <v>307</v>
      </c>
      <c r="D75" s="13" t="n">
        <f aca="false">COUNTIFS(借閱!$B$2:$B$2000,$A75,借閱!$D$2:$D$2000,"")</f>
        <v>0</v>
      </c>
      <c r="E75" s="10" t="str">
        <f aca="false">IF(D75&gt;0,"借出中","在店")</f>
        <v>在店</v>
      </c>
      <c r="F75" s="10" t="n">
        <f aca="false">COUNTIF(借閱!$B$2:$B$2000,$A75)</f>
        <v>3</v>
      </c>
      <c r="G75" s="10" t="n">
        <f aca="false">F75+ROW()/100000</f>
        <v>3.00075</v>
      </c>
    </row>
    <row r="76" customFormat="false" ht="15" hidden="false" customHeight="false" outlineLevel="0" collapsed="false">
      <c r="A76" s="7" t="s">
        <v>137</v>
      </c>
      <c r="B76" s="12" t="s">
        <v>308</v>
      </c>
      <c r="C76" s="12" t="s">
        <v>309</v>
      </c>
      <c r="D76" s="13" t="n">
        <f aca="false">COUNTIFS(借閱!$B$2:$B$2000,$A76,借閱!$D$2:$D$2000,"")</f>
        <v>0</v>
      </c>
      <c r="E76" s="10" t="str">
        <f aca="false">IF(D76&gt;0,"借出中","在店")</f>
        <v>在店</v>
      </c>
      <c r="F76" s="10" t="n">
        <f aca="false">COUNTIF(借閱!$B$2:$B$2000,$A76)</f>
        <v>5</v>
      </c>
      <c r="G76" s="10" t="n">
        <f aca="false">F76+ROW()/100000</f>
        <v>5.00076</v>
      </c>
    </row>
    <row r="77" customFormat="false" ht="15" hidden="false" customHeight="false" outlineLevel="0" collapsed="false">
      <c r="A77" s="7" t="s">
        <v>45</v>
      </c>
      <c r="B77" s="12" t="s">
        <v>310</v>
      </c>
      <c r="C77" s="12" t="s">
        <v>206</v>
      </c>
      <c r="D77" s="13" t="n">
        <f aca="false">COUNTIFS(借閱!$B$2:$B$2000,$A77,借閱!$D$2:$D$2000,"")</f>
        <v>1</v>
      </c>
      <c r="E77" s="10" t="str">
        <f aca="false">IF(D77&gt;0,"借出中","在店")</f>
        <v>借出中</v>
      </c>
      <c r="F77" s="10" t="n">
        <f aca="false">COUNTIF(借閱!$B$2:$B$2000,$A77)</f>
        <v>8</v>
      </c>
      <c r="G77" s="10" t="n">
        <f aca="false">F77+ROW()/100000</f>
        <v>8.00077</v>
      </c>
    </row>
    <row r="78" customFormat="false" ht="15" hidden="false" customHeight="false" outlineLevel="0" collapsed="false">
      <c r="A78" s="7" t="s">
        <v>100</v>
      </c>
      <c r="B78" s="12" t="s">
        <v>311</v>
      </c>
      <c r="C78" s="12" t="s">
        <v>312</v>
      </c>
      <c r="D78" s="13" t="n">
        <f aca="false">COUNTIFS(借閱!$B$2:$B$2000,$A78,借閱!$D$2:$D$2000,"")</f>
        <v>0</v>
      </c>
      <c r="E78" s="10" t="str">
        <f aca="false">IF(D78&gt;0,"借出中","在店")</f>
        <v>在店</v>
      </c>
      <c r="F78" s="10" t="n">
        <f aca="false">COUNTIF(借閱!$B$2:$B$2000,$A78)</f>
        <v>3</v>
      </c>
      <c r="G78" s="10" t="n">
        <f aca="false">F78+ROW()/100000</f>
        <v>3.00078</v>
      </c>
    </row>
    <row r="79" customFormat="false" ht="15" hidden="false" customHeight="false" outlineLevel="0" collapsed="false">
      <c r="A79" s="7" t="s">
        <v>140</v>
      </c>
      <c r="B79" s="12" t="s">
        <v>313</v>
      </c>
      <c r="C79" s="12" t="s">
        <v>314</v>
      </c>
      <c r="D79" s="13" t="n">
        <f aca="false">COUNTIFS(借閱!$B$2:$B$2000,$A79,借閱!$D$2:$D$2000,"")</f>
        <v>1</v>
      </c>
      <c r="E79" s="10" t="str">
        <f aca="false">IF(D79&gt;0,"借出中","在店")</f>
        <v>借出中</v>
      </c>
      <c r="F79" s="10" t="n">
        <f aca="false">COUNTIF(借閱!$B$2:$B$2000,$A79)</f>
        <v>4</v>
      </c>
      <c r="G79" s="10" t="n">
        <f aca="false">F79+ROW()/100000</f>
        <v>4.00079</v>
      </c>
    </row>
    <row r="80" customFormat="false" ht="15" hidden="false" customHeight="false" outlineLevel="0" collapsed="false">
      <c r="A80" s="7" t="s">
        <v>132</v>
      </c>
      <c r="B80" s="12" t="s">
        <v>315</v>
      </c>
      <c r="C80" s="12" t="s">
        <v>316</v>
      </c>
      <c r="D80" s="13" t="n">
        <f aca="false">COUNTIFS(借閱!$B$2:$B$2000,$A80,借閱!$D$2:$D$2000,"")</f>
        <v>0</v>
      </c>
      <c r="E80" s="10" t="str">
        <f aca="false">IF(D80&gt;0,"借出中","在店")</f>
        <v>在店</v>
      </c>
      <c r="F80" s="10" t="n">
        <f aca="false">COUNTIF(借閱!$B$2:$B$2000,$A80)</f>
        <v>3</v>
      </c>
      <c r="G80" s="10" t="n">
        <f aca="false">F80+ROW()/100000</f>
        <v>3.0008</v>
      </c>
    </row>
    <row r="81" customFormat="false" ht="15" hidden="false" customHeight="false" outlineLevel="0" collapsed="false">
      <c r="A81" s="7" t="s">
        <v>90</v>
      </c>
      <c r="B81" s="12" t="s">
        <v>317</v>
      </c>
      <c r="C81" s="12" t="s">
        <v>318</v>
      </c>
      <c r="D81" s="13" t="n">
        <f aca="false">COUNTIFS(借閱!$B$2:$B$2000,$A81,借閱!$D$2:$D$2000,"")</f>
        <v>0</v>
      </c>
      <c r="E81" s="10" t="str">
        <f aca="false">IF(D81&gt;0,"借出中","在店")</f>
        <v>在店</v>
      </c>
      <c r="F81" s="10" t="n">
        <f aca="false">COUNTIF(借閱!$B$2:$B$2000,$A81)</f>
        <v>6</v>
      </c>
      <c r="G81" s="10" t="n">
        <f aca="false">F81+ROW()/100000</f>
        <v>6.00081</v>
      </c>
    </row>
    <row r="82" customFormat="false" ht="15" hidden="false" customHeight="false" outlineLevel="0" collapsed="false">
      <c r="A82" s="7" t="s">
        <v>121</v>
      </c>
      <c r="B82" s="12" t="s">
        <v>319</v>
      </c>
      <c r="C82" s="12" t="s">
        <v>210</v>
      </c>
      <c r="D82" s="13" t="n">
        <f aca="false">COUNTIFS(借閱!$B$2:$B$2000,$A82,借閱!$D$2:$D$2000,"")</f>
        <v>0</v>
      </c>
      <c r="E82" s="10" t="str">
        <f aca="false">IF(D82&gt;0,"借出中","在店")</f>
        <v>在店</v>
      </c>
      <c r="F82" s="10" t="n">
        <f aca="false">COUNTIF(借閱!$B$2:$B$2000,$A82)</f>
        <v>5</v>
      </c>
      <c r="G82" s="10" t="n">
        <f aca="false">F82+ROW()/100000</f>
        <v>5.00082</v>
      </c>
    </row>
    <row r="83" customFormat="false" ht="15" hidden="false" customHeight="false" outlineLevel="0" collapsed="false">
      <c r="A83" s="7" t="s">
        <v>73</v>
      </c>
      <c r="B83" s="12" t="s">
        <v>320</v>
      </c>
      <c r="C83" s="12" t="s">
        <v>188</v>
      </c>
      <c r="D83" s="13" t="n">
        <f aca="false">COUNTIFS(借閱!$B$2:$B$2000,$A83,借閱!$D$2:$D$2000,"")</f>
        <v>0</v>
      </c>
      <c r="E83" s="10" t="str">
        <f aca="false">IF(D83&gt;0,"借出中","在店")</f>
        <v>在店</v>
      </c>
      <c r="F83" s="10" t="n">
        <f aca="false">COUNTIF(借閱!$B$2:$B$2000,$A83)</f>
        <v>6</v>
      </c>
      <c r="G83" s="10" t="n">
        <f aca="false">F83+ROW()/100000</f>
        <v>6.00083</v>
      </c>
    </row>
    <row r="84" customFormat="false" ht="15" hidden="false" customHeight="false" outlineLevel="0" collapsed="false">
      <c r="A84" s="7" t="s">
        <v>104</v>
      </c>
      <c r="B84" s="12" t="s">
        <v>321</v>
      </c>
      <c r="C84" s="12" t="s">
        <v>322</v>
      </c>
      <c r="D84" s="13" t="n">
        <f aca="false">COUNTIFS(借閱!$B$2:$B$2000,$A84,借閱!$D$2:$D$2000,"")</f>
        <v>0</v>
      </c>
      <c r="E84" s="10" t="str">
        <f aca="false">IF(D84&gt;0,"借出中","在店")</f>
        <v>在店</v>
      </c>
      <c r="F84" s="10" t="n">
        <f aca="false">COUNTIF(借閱!$B$2:$B$2000,$A84)</f>
        <v>5</v>
      </c>
      <c r="G84" s="10" t="n">
        <f aca="false">F84+ROW()/100000</f>
        <v>5.00084</v>
      </c>
    </row>
    <row r="85" customFormat="false" ht="15" hidden="false" customHeight="false" outlineLevel="0" collapsed="false">
      <c r="A85" s="7" t="s">
        <v>156</v>
      </c>
      <c r="B85" s="12" t="s">
        <v>323</v>
      </c>
      <c r="C85" s="12" t="s">
        <v>324</v>
      </c>
      <c r="D85" s="13" t="n">
        <f aca="false">COUNTIFS(借閱!$B$2:$B$2000,$A85,借閱!$D$2:$D$2000,"")</f>
        <v>1</v>
      </c>
      <c r="E85" s="10" t="str">
        <f aca="false">IF(D85&gt;0,"借出中","在店")</f>
        <v>借出中</v>
      </c>
      <c r="F85" s="10" t="n">
        <f aca="false">COUNTIF(借閱!$B$2:$B$2000,$A85)</f>
        <v>4</v>
      </c>
      <c r="G85" s="10" t="n">
        <f aca="false">F85+ROW()/100000</f>
        <v>4.00085</v>
      </c>
    </row>
    <row r="86" customFormat="false" ht="15" hidden="false" customHeight="false" outlineLevel="0" collapsed="false">
      <c r="A86" s="7" t="s">
        <v>142</v>
      </c>
      <c r="B86" s="12" t="s">
        <v>239</v>
      </c>
      <c r="C86" s="12" t="s">
        <v>325</v>
      </c>
      <c r="D86" s="13" t="n">
        <f aca="false">COUNTIFS(借閱!$B$2:$B$2000,$A86,借閱!$D$2:$D$2000,"")</f>
        <v>1</v>
      </c>
      <c r="E86" s="10" t="str">
        <f aca="false">IF(D86&gt;0,"借出中","在店")</f>
        <v>借出中</v>
      </c>
      <c r="F86" s="10" t="n">
        <f aca="false">COUNTIF(借閱!$B$2:$B$2000,$A86)</f>
        <v>7</v>
      </c>
      <c r="G86" s="10" t="n">
        <f aca="false">F86+ROW()/100000</f>
        <v>7.00086</v>
      </c>
    </row>
    <row r="87" customFormat="false" ht="15" hidden="false" customHeight="false" outlineLevel="0" collapsed="false">
      <c r="A87" s="7" t="s">
        <v>36</v>
      </c>
      <c r="B87" s="12" t="s">
        <v>217</v>
      </c>
      <c r="C87" s="12" t="s">
        <v>326</v>
      </c>
      <c r="D87" s="13" t="n">
        <f aca="false">COUNTIFS(借閱!$B$2:$B$2000,$A87,借閱!$D$2:$D$2000,"")</f>
        <v>0</v>
      </c>
      <c r="E87" s="10" t="str">
        <f aca="false">IF(D87&gt;0,"借出中","在店")</f>
        <v>在店</v>
      </c>
      <c r="F87" s="10" t="n">
        <f aca="false">COUNTIF(借閱!$B$2:$B$2000,$A87)</f>
        <v>6</v>
      </c>
      <c r="G87" s="10" t="n">
        <f aca="false">F87+ROW()/100000</f>
        <v>6.00087</v>
      </c>
    </row>
    <row r="88" customFormat="false" ht="15" hidden="false" customHeight="false" outlineLevel="0" collapsed="false">
      <c r="A88" s="7" t="s">
        <v>71</v>
      </c>
      <c r="B88" s="12" t="s">
        <v>327</v>
      </c>
      <c r="C88" s="12" t="s">
        <v>328</v>
      </c>
      <c r="D88" s="13" t="n">
        <f aca="false">COUNTIFS(借閱!$B$2:$B$2000,$A88,借閱!$D$2:$D$2000,"")</f>
        <v>1</v>
      </c>
      <c r="E88" s="10" t="str">
        <f aca="false">IF(D88&gt;0,"借出中","在店")</f>
        <v>借出中</v>
      </c>
      <c r="F88" s="10" t="n">
        <f aca="false">COUNTIF(借閱!$B$2:$B$2000,$A88)</f>
        <v>9</v>
      </c>
      <c r="G88" s="10" t="n">
        <f aca="false">F88+ROW()/100000</f>
        <v>9.00088</v>
      </c>
    </row>
    <row r="89" customFormat="false" ht="15" hidden="false" customHeight="false" outlineLevel="0" collapsed="false">
      <c r="A89" s="7" t="s">
        <v>126</v>
      </c>
      <c r="B89" s="12" t="s">
        <v>329</v>
      </c>
      <c r="C89" s="12" t="s">
        <v>330</v>
      </c>
      <c r="D89" s="13" t="n">
        <f aca="false">COUNTIFS(借閱!$B$2:$B$2000,$A89,借閱!$D$2:$D$2000,"")</f>
        <v>0</v>
      </c>
      <c r="E89" s="10" t="str">
        <f aca="false">IF(D89&gt;0,"借出中","在店")</f>
        <v>在店</v>
      </c>
      <c r="F89" s="10" t="n">
        <f aca="false">COUNTIF(借閱!$B$2:$B$2000,$A89)</f>
        <v>6</v>
      </c>
      <c r="G89" s="10" t="n">
        <f aca="false">F89+ROW()/100000</f>
        <v>6.00089</v>
      </c>
    </row>
    <row r="90" customFormat="false" ht="15" hidden="false" customHeight="false" outlineLevel="0" collapsed="false">
      <c r="A90" s="7" t="s">
        <v>102</v>
      </c>
      <c r="B90" s="12" t="s">
        <v>203</v>
      </c>
      <c r="C90" s="12" t="s">
        <v>331</v>
      </c>
      <c r="D90" s="13" t="n">
        <f aca="false">COUNTIFS(借閱!$B$2:$B$2000,$A90,借閱!$D$2:$D$2000,"")</f>
        <v>0</v>
      </c>
      <c r="E90" s="10" t="str">
        <f aca="false">IF(D90&gt;0,"借出中","在店")</f>
        <v>在店</v>
      </c>
      <c r="F90" s="10" t="n">
        <f aca="false">COUNTIF(借閱!$B$2:$B$2000,$A90)</f>
        <v>5</v>
      </c>
      <c r="G90" s="10" t="n">
        <f aca="false">F90+ROW()/100000</f>
        <v>5.0009</v>
      </c>
    </row>
    <row r="91" customFormat="false" ht="15" hidden="false" customHeight="false" outlineLevel="0" collapsed="false">
      <c r="A91" s="7" t="s">
        <v>143</v>
      </c>
      <c r="B91" s="12" t="s">
        <v>332</v>
      </c>
      <c r="C91" s="12" t="s">
        <v>333</v>
      </c>
      <c r="D91" s="13" t="n">
        <f aca="false">COUNTIFS(借閱!$B$2:$B$2000,$A91,借閱!$D$2:$D$2000,"")</f>
        <v>0</v>
      </c>
      <c r="E91" s="10" t="str">
        <f aca="false">IF(D91&gt;0,"借出中","在店")</f>
        <v>在店</v>
      </c>
      <c r="F91" s="10" t="n">
        <f aca="false">COUNTIF(借閱!$B$2:$B$2000,$A91)</f>
        <v>6</v>
      </c>
      <c r="G91" s="10" t="n">
        <f aca="false">F91+ROW()/100000</f>
        <v>6.00091</v>
      </c>
    </row>
    <row r="92" customFormat="false" ht="15" hidden="false" customHeight="false" outlineLevel="0" collapsed="false">
      <c r="A92" s="7" t="s">
        <v>50</v>
      </c>
      <c r="B92" s="12" t="s">
        <v>334</v>
      </c>
      <c r="C92" s="12" t="s">
        <v>335</v>
      </c>
      <c r="D92" s="13" t="n">
        <f aca="false">COUNTIFS(借閱!$B$2:$B$2000,$A92,借閱!$D$2:$D$2000,"")</f>
        <v>0</v>
      </c>
      <c r="E92" s="10" t="str">
        <f aca="false">IF(D92&gt;0,"借出中","在店")</f>
        <v>在店</v>
      </c>
      <c r="F92" s="10" t="n">
        <f aca="false">COUNTIF(借閱!$B$2:$B$2000,$A92)</f>
        <v>5</v>
      </c>
      <c r="G92" s="10" t="n">
        <f aca="false">F92+ROW()/100000</f>
        <v>5.00092</v>
      </c>
    </row>
    <row r="93" customFormat="false" ht="15" hidden="false" customHeight="false" outlineLevel="0" collapsed="false">
      <c r="A93" s="7" t="s">
        <v>149</v>
      </c>
      <c r="B93" s="12" t="s">
        <v>336</v>
      </c>
      <c r="C93" s="12" t="s">
        <v>337</v>
      </c>
      <c r="D93" s="13" t="n">
        <f aca="false">COUNTIFS(借閱!$B$2:$B$2000,$A93,借閱!$D$2:$D$2000,"")</f>
        <v>1</v>
      </c>
      <c r="E93" s="10" t="str">
        <f aca="false">IF(D93&gt;0,"借出中","在店")</f>
        <v>借出中</v>
      </c>
      <c r="F93" s="10" t="n">
        <f aca="false">COUNTIF(借閱!$B$2:$B$2000,$A93)</f>
        <v>6</v>
      </c>
      <c r="G93" s="10" t="n">
        <f aca="false">F93+ROW()/100000</f>
        <v>6.00093</v>
      </c>
    </row>
    <row r="94" customFormat="false" ht="15" hidden="false" customHeight="false" outlineLevel="0" collapsed="false">
      <c r="A94" s="7" t="s">
        <v>89</v>
      </c>
      <c r="B94" s="12" t="s">
        <v>338</v>
      </c>
      <c r="C94" s="12" t="s">
        <v>339</v>
      </c>
      <c r="D94" s="13" t="n">
        <f aca="false">COUNTIFS(借閱!$B$2:$B$2000,$A94,借閱!$D$2:$D$2000,"")</f>
        <v>0</v>
      </c>
      <c r="E94" s="10" t="str">
        <f aca="false">IF(D94&gt;0,"借出中","在店")</f>
        <v>在店</v>
      </c>
      <c r="F94" s="10" t="n">
        <f aca="false">COUNTIF(借閱!$B$2:$B$2000,$A94)</f>
        <v>5</v>
      </c>
      <c r="G94" s="10" t="n">
        <f aca="false">F94+ROW()/100000</f>
        <v>5.00094</v>
      </c>
    </row>
    <row r="95" customFormat="false" ht="15" hidden="false" customHeight="false" outlineLevel="0" collapsed="false">
      <c r="A95" s="7" t="s">
        <v>131</v>
      </c>
      <c r="B95" s="12" t="s">
        <v>340</v>
      </c>
      <c r="C95" s="12" t="s">
        <v>318</v>
      </c>
      <c r="D95" s="13" t="n">
        <f aca="false">COUNTIFS(借閱!$B$2:$B$2000,$A95,借閱!$D$2:$D$2000,"")</f>
        <v>0</v>
      </c>
      <c r="E95" s="10" t="str">
        <f aca="false">IF(D95&gt;0,"借出中","在店")</f>
        <v>在店</v>
      </c>
      <c r="F95" s="10" t="n">
        <f aca="false">COUNTIF(借閱!$B$2:$B$2000,$A95)</f>
        <v>5</v>
      </c>
      <c r="G95" s="10" t="n">
        <f aca="false">F95+ROW()/100000</f>
        <v>5.00095</v>
      </c>
    </row>
    <row r="96" customFormat="false" ht="15" hidden="false" customHeight="false" outlineLevel="0" collapsed="false">
      <c r="A96" s="7" t="s">
        <v>69</v>
      </c>
      <c r="B96" s="12" t="s">
        <v>341</v>
      </c>
      <c r="C96" s="12" t="s">
        <v>342</v>
      </c>
      <c r="D96" s="13" t="n">
        <f aca="false">COUNTIFS(借閱!$B$2:$B$2000,$A96,借閱!$D$2:$D$2000,"")</f>
        <v>0</v>
      </c>
      <c r="E96" s="10" t="str">
        <f aca="false">IF(D96&gt;0,"借出中","在店")</f>
        <v>在店</v>
      </c>
      <c r="F96" s="10" t="n">
        <f aca="false">COUNTIF(借閱!$B$2:$B$2000,$A96)</f>
        <v>3</v>
      </c>
      <c r="G96" s="10" t="n">
        <f aca="false">F96+ROW()/100000</f>
        <v>3.00096</v>
      </c>
    </row>
    <row r="97" customFormat="false" ht="15" hidden="false" customHeight="false" outlineLevel="0" collapsed="false">
      <c r="A97" s="7" t="s">
        <v>110</v>
      </c>
      <c r="B97" s="12" t="s">
        <v>343</v>
      </c>
      <c r="C97" s="12" t="s">
        <v>344</v>
      </c>
      <c r="D97" s="13" t="n">
        <f aca="false">COUNTIFS(借閱!$B$2:$B$2000,$A97,借閱!$D$2:$D$2000,"")</f>
        <v>0</v>
      </c>
      <c r="E97" s="10" t="str">
        <f aca="false">IF(D97&gt;0,"借出中","在店")</f>
        <v>在店</v>
      </c>
      <c r="F97" s="10" t="n">
        <f aca="false">COUNTIF(借閱!$B$2:$B$2000,$A97)</f>
        <v>4</v>
      </c>
      <c r="G97" s="10" t="n">
        <f aca="false">F97+ROW()/100000</f>
        <v>4.00097</v>
      </c>
    </row>
    <row r="98" customFormat="false" ht="15" hidden="false" customHeight="false" outlineLevel="0" collapsed="false">
      <c r="A98" s="7" t="s">
        <v>38</v>
      </c>
      <c r="B98" s="12" t="s">
        <v>345</v>
      </c>
      <c r="C98" s="12" t="s">
        <v>346</v>
      </c>
      <c r="D98" s="13" t="n">
        <f aca="false">COUNTIFS(借閱!$B$2:$B$2000,$A98,借閱!$D$2:$D$2000,"")</f>
        <v>1</v>
      </c>
      <c r="E98" s="10" t="str">
        <f aca="false">IF(D98&gt;0,"借出中","在店")</f>
        <v>借出中</v>
      </c>
      <c r="F98" s="10" t="n">
        <f aca="false">COUNTIF(借閱!$B$2:$B$2000,$A98)</f>
        <v>6</v>
      </c>
      <c r="G98" s="10" t="n">
        <f aca="false">F98+ROW()/100000</f>
        <v>6.00098</v>
      </c>
    </row>
    <row r="99" customFormat="false" ht="15" hidden="false" customHeight="false" outlineLevel="0" collapsed="false">
      <c r="A99" s="7" t="s">
        <v>106</v>
      </c>
      <c r="B99" s="12" t="s">
        <v>347</v>
      </c>
      <c r="C99" s="12" t="s">
        <v>348</v>
      </c>
      <c r="D99" s="13" t="n">
        <f aca="false">COUNTIFS(借閱!$B$2:$B$2000,$A99,借閱!$D$2:$D$2000,"")</f>
        <v>1</v>
      </c>
      <c r="E99" s="10" t="str">
        <f aca="false">IF(D99&gt;0,"借出中","在店")</f>
        <v>借出中</v>
      </c>
      <c r="F99" s="10" t="n">
        <f aca="false">COUNTIF(借閱!$B$2:$B$2000,$A99)</f>
        <v>7</v>
      </c>
      <c r="G99" s="10" t="n">
        <f aca="false">F99+ROW()/100000</f>
        <v>7.00099</v>
      </c>
    </row>
    <row r="100" customFormat="false" ht="15" hidden="false" customHeight="false" outlineLevel="0" collapsed="false">
      <c r="A100" s="7" t="s">
        <v>81</v>
      </c>
      <c r="B100" s="12" t="s">
        <v>349</v>
      </c>
      <c r="C100" s="12" t="s">
        <v>350</v>
      </c>
      <c r="D100" s="13" t="n">
        <f aca="false">COUNTIFS(借閱!$B$2:$B$2000,$A100,借閱!$D$2:$D$2000,"")</f>
        <v>0</v>
      </c>
      <c r="E100" s="10" t="str">
        <f aca="false">IF(D100&gt;0,"借出中","在店")</f>
        <v>在店</v>
      </c>
      <c r="F100" s="10" t="n">
        <f aca="false">COUNTIF(借閱!$B$2:$B$2000,$A100)</f>
        <v>5</v>
      </c>
      <c r="G100" s="10" t="n">
        <f aca="false">F100+ROW()/100000</f>
        <v>5.001</v>
      </c>
    </row>
    <row r="101" customFormat="false" ht="15" hidden="false" customHeight="false" outlineLevel="0" collapsed="false">
      <c r="A101" s="7" t="s">
        <v>41</v>
      </c>
      <c r="B101" s="12" t="s">
        <v>319</v>
      </c>
      <c r="C101" s="12" t="s">
        <v>314</v>
      </c>
      <c r="D101" s="13" t="n">
        <f aca="false">COUNTIFS(借閱!$B$2:$B$2000,$A101,借閱!$D$2:$D$2000,"")</f>
        <v>0</v>
      </c>
      <c r="E101" s="10" t="str">
        <f aca="false">IF(D101&gt;0,"借出中","在店")</f>
        <v>在店</v>
      </c>
      <c r="F101" s="10" t="n">
        <f aca="false">COUNTIF(借閱!$B$2:$B$2000,$A101)</f>
        <v>6</v>
      </c>
      <c r="G101" s="10" t="n">
        <f aca="false">F101+ROW()/100000</f>
        <v>6.00101</v>
      </c>
    </row>
  </sheetData>
  <autoFilter ref="A1:F101"/>
  <conditionalFormatting sqref="D2:D101">
    <cfRule type="cellIs" priority="2" operator="greaterThan" aboveAverage="0" equalAverage="0" bottom="0" percent="0" rank="0" text="" dxfId="8">
      <formula>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4"/>
    <col collapsed="false" customWidth="true" hidden="false" outlineLevel="0" max="4" min="4" style="0" width="10"/>
  </cols>
  <sheetData>
    <row r="1" customFormat="false" ht="21.75" hidden="false" customHeight="true" outlineLevel="0" collapsed="false">
      <c r="A1" s="5" t="s">
        <v>15</v>
      </c>
      <c r="B1" s="5" t="s">
        <v>20</v>
      </c>
      <c r="C1" s="5" t="s">
        <v>351</v>
      </c>
      <c r="D1" s="5" t="s">
        <v>352</v>
      </c>
    </row>
    <row r="2" customFormat="false" ht="15" hidden="false" customHeight="false" outlineLevel="0" collapsed="false">
      <c r="A2" s="7" t="s">
        <v>87</v>
      </c>
      <c r="B2" s="12" t="s">
        <v>353</v>
      </c>
      <c r="C2" s="7" t="s">
        <v>354</v>
      </c>
      <c r="D2" s="10" t="n">
        <f aca="false">COUNTIFS(借閱!$A$2:$A$2000,$A2,借閱!$D$2:$D$2000,"")</f>
        <v>3</v>
      </c>
    </row>
    <row r="3" customFormat="false" ht="15" hidden="false" customHeight="false" outlineLevel="0" collapsed="false">
      <c r="A3" s="7" t="s">
        <v>80</v>
      </c>
      <c r="B3" s="12" t="s">
        <v>355</v>
      </c>
      <c r="C3" s="7" t="s">
        <v>356</v>
      </c>
      <c r="D3" s="10" t="n">
        <f aca="false">COUNTIFS(借閱!$A$2:$A$2000,$A3,借閱!$D$2:$D$2000,"")</f>
        <v>1</v>
      </c>
    </row>
    <row r="4" customFormat="false" ht="15" hidden="false" customHeight="false" outlineLevel="0" collapsed="false">
      <c r="A4" s="7" t="s">
        <v>101</v>
      </c>
      <c r="B4" s="12" t="s">
        <v>290</v>
      </c>
      <c r="C4" s="7" t="s">
        <v>357</v>
      </c>
      <c r="D4" s="10" t="n">
        <f aca="false">COUNTIFS(借閱!$A$2:$A$2000,$A4,借閱!$D$2:$D$2000,"")</f>
        <v>1</v>
      </c>
    </row>
    <row r="5" customFormat="false" ht="15" hidden="false" customHeight="false" outlineLevel="0" collapsed="false">
      <c r="A5" s="7" t="s">
        <v>66</v>
      </c>
      <c r="B5" s="12" t="s">
        <v>358</v>
      </c>
      <c r="C5" s="7" t="s">
        <v>359</v>
      </c>
      <c r="D5" s="10" t="n">
        <f aca="false">COUNTIFS(借閱!$A$2:$A$2000,$A5,借閱!$D$2:$D$2000,"")</f>
        <v>0</v>
      </c>
    </row>
    <row r="6" customFormat="false" ht="15" hidden="false" customHeight="false" outlineLevel="0" collapsed="false">
      <c r="A6" s="7" t="s">
        <v>68</v>
      </c>
      <c r="B6" s="12" t="s">
        <v>360</v>
      </c>
      <c r="C6" s="7" t="s">
        <v>361</v>
      </c>
      <c r="D6" s="10" t="n">
        <f aca="false">COUNTIFS(借閱!$A$2:$A$2000,$A6,借閱!$D$2:$D$2000,"")</f>
        <v>1</v>
      </c>
    </row>
    <row r="7" customFormat="false" ht="15" hidden="false" customHeight="false" outlineLevel="0" collapsed="false">
      <c r="A7" s="7" t="s">
        <v>97</v>
      </c>
      <c r="B7" s="12" t="s">
        <v>362</v>
      </c>
      <c r="C7" s="7" t="s">
        <v>363</v>
      </c>
      <c r="D7" s="10" t="n">
        <f aca="false">COUNTIFS(借閱!$A$2:$A$2000,$A7,借閱!$D$2:$D$2000,"")</f>
        <v>0</v>
      </c>
    </row>
    <row r="8" customFormat="false" ht="15" hidden="false" customHeight="false" outlineLevel="0" collapsed="false">
      <c r="A8" s="7" t="s">
        <v>116</v>
      </c>
      <c r="B8" s="12" t="s">
        <v>364</v>
      </c>
      <c r="C8" s="7" t="s">
        <v>365</v>
      </c>
      <c r="D8" s="10" t="n">
        <f aca="false">COUNTIFS(借閱!$A$2:$A$2000,$A8,借閱!$D$2:$D$2000,"")</f>
        <v>0</v>
      </c>
    </row>
    <row r="9" customFormat="false" ht="15" hidden="false" customHeight="false" outlineLevel="0" collapsed="false">
      <c r="A9" s="7" t="s">
        <v>161</v>
      </c>
      <c r="B9" s="12" t="s">
        <v>366</v>
      </c>
      <c r="C9" s="7" t="s">
        <v>367</v>
      </c>
      <c r="D9" s="10" t="n">
        <f aca="false">COUNTIFS(借閱!$A$2:$A$2000,$A9,借閱!$D$2:$D$2000,"")</f>
        <v>0</v>
      </c>
    </row>
    <row r="10" customFormat="false" ht="15" hidden="false" customHeight="false" outlineLevel="0" collapsed="false">
      <c r="A10" s="7" t="s">
        <v>32</v>
      </c>
      <c r="B10" s="12" t="s">
        <v>368</v>
      </c>
      <c r="C10" s="7" t="s">
        <v>369</v>
      </c>
      <c r="D10" s="10" t="n">
        <f aca="false">COUNTIFS(借閱!$A$2:$A$2000,$A10,借閱!$D$2:$D$2000,"")</f>
        <v>2</v>
      </c>
    </row>
    <row r="11" customFormat="false" ht="15" hidden="false" customHeight="false" outlineLevel="0" collapsed="false">
      <c r="A11" s="7" t="s">
        <v>44</v>
      </c>
      <c r="B11" s="12" t="s">
        <v>358</v>
      </c>
      <c r="C11" s="7" t="s">
        <v>370</v>
      </c>
      <c r="D11" s="10" t="n">
        <f aca="false">COUNTIFS(借閱!$A$2:$A$2000,$A11,借閱!$D$2:$D$2000,"")</f>
        <v>1</v>
      </c>
    </row>
    <row r="12" customFormat="false" ht="15" hidden="false" customHeight="false" outlineLevel="0" collapsed="false">
      <c r="A12" s="7" t="s">
        <v>113</v>
      </c>
      <c r="B12" s="12" t="s">
        <v>200</v>
      </c>
      <c r="C12" s="7" t="s">
        <v>371</v>
      </c>
      <c r="D12" s="10" t="n">
        <f aca="false">COUNTIFS(借閱!$A$2:$A$2000,$A12,借閱!$D$2:$D$2000,"")</f>
        <v>0</v>
      </c>
    </row>
    <row r="13" customFormat="false" ht="15" hidden="false" customHeight="false" outlineLevel="0" collapsed="false">
      <c r="A13" s="7" t="s">
        <v>129</v>
      </c>
      <c r="B13" s="12" t="s">
        <v>372</v>
      </c>
      <c r="C13" s="7" t="s">
        <v>373</v>
      </c>
      <c r="D13" s="10" t="n">
        <f aca="false">COUNTIFS(借閱!$A$2:$A$2000,$A13,借閱!$D$2:$D$2000,"")</f>
        <v>0</v>
      </c>
    </row>
    <row r="14" customFormat="false" ht="15" hidden="false" customHeight="false" outlineLevel="0" collapsed="false">
      <c r="A14" s="7" t="s">
        <v>63</v>
      </c>
      <c r="B14" s="12" t="s">
        <v>258</v>
      </c>
      <c r="C14" s="7" t="s">
        <v>374</v>
      </c>
      <c r="D14" s="10" t="n">
        <f aca="false">COUNTIFS(借閱!$A$2:$A$2000,$A14,借閱!$D$2:$D$2000,"")</f>
        <v>0</v>
      </c>
    </row>
    <row r="15" customFormat="false" ht="15" hidden="false" customHeight="false" outlineLevel="0" collapsed="false">
      <c r="A15" s="7" t="s">
        <v>24</v>
      </c>
      <c r="B15" s="12" t="s">
        <v>230</v>
      </c>
      <c r="C15" s="7" t="s">
        <v>375</v>
      </c>
      <c r="D15" s="10" t="n">
        <f aca="false">COUNTIFS(借閱!$A$2:$A$2000,$A15,借閱!$D$2:$D$2000,"")</f>
        <v>1</v>
      </c>
    </row>
    <row r="16" customFormat="false" ht="15" hidden="false" customHeight="false" outlineLevel="0" collapsed="false">
      <c r="A16" s="7" t="s">
        <v>49</v>
      </c>
      <c r="B16" s="12" t="s">
        <v>169</v>
      </c>
      <c r="C16" s="7" t="s">
        <v>376</v>
      </c>
      <c r="D16" s="10" t="n">
        <f aca="false">COUNTIFS(借閱!$A$2:$A$2000,$A16,借閱!$D$2:$D$2000,"")</f>
        <v>0</v>
      </c>
    </row>
    <row r="17" customFormat="false" ht="15" hidden="false" customHeight="false" outlineLevel="0" collapsed="false">
      <c r="A17" s="7" t="s">
        <v>72</v>
      </c>
      <c r="B17" s="12" t="s">
        <v>377</v>
      </c>
      <c r="C17" s="7" t="s">
        <v>378</v>
      </c>
      <c r="D17" s="10" t="n">
        <f aca="false">COUNTIFS(借閱!$A$2:$A$2000,$A17,借閱!$D$2:$D$2000,"")</f>
        <v>1</v>
      </c>
    </row>
    <row r="18" customFormat="false" ht="15" hidden="false" customHeight="false" outlineLevel="0" collapsed="false">
      <c r="A18" s="7" t="s">
        <v>30</v>
      </c>
      <c r="B18" s="12" t="s">
        <v>379</v>
      </c>
      <c r="C18" s="7" t="s">
        <v>380</v>
      </c>
      <c r="D18" s="10" t="n">
        <f aca="false">COUNTIFS(借閱!$A$2:$A$2000,$A18,借閱!$D$2:$D$2000,"")</f>
        <v>1</v>
      </c>
    </row>
    <row r="19" customFormat="false" ht="15" hidden="false" customHeight="false" outlineLevel="0" collapsed="false">
      <c r="A19" s="7" t="s">
        <v>160</v>
      </c>
      <c r="B19" s="12" t="s">
        <v>381</v>
      </c>
      <c r="C19" s="7" t="s">
        <v>382</v>
      </c>
      <c r="D19" s="10" t="n">
        <f aca="false">COUNTIFS(借閱!$A$2:$A$2000,$A19,借閱!$D$2:$D$2000,"")</f>
        <v>1</v>
      </c>
    </row>
    <row r="20" customFormat="false" ht="15" hidden="false" customHeight="false" outlineLevel="0" collapsed="false">
      <c r="A20" s="7" t="s">
        <v>26</v>
      </c>
      <c r="B20" s="12" t="s">
        <v>383</v>
      </c>
      <c r="C20" s="7" t="s">
        <v>384</v>
      </c>
      <c r="D20" s="10" t="n">
        <f aca="false">COUNTIFS(借閱!$A$2:$A$2000,$A20,借閱!$D$2:$D$2000,"")</f>
        <v>0</v>
      </c>
    </row>
    <row r="21" customFormat="false" ht="15" hidden="false" customHeight="false" outlineLevel="0" collapsed="false">
      <c r="A21" s="7" t="s">
        <v>99</v>
      </c>
      <c r="B21" s="12" t="s">
        <v>385</v>
      </c>
      <c r="C21" s="7" t="s">
        <v>386</v>
      </c>
      <c r="D21" s="10" t="n">
        <f aca="false">COUNTIFS(借閱!$A$2:$A$2000,$A21,借閱!$D$2:$D$2000,"")</f>
        <v>1</v>
      </c>
    </row>
    <row r="22" customFormat="false" ht="15" hidden="false" customHeight="false" outlineLevel="0" collapsed="false">
      <c r="A22" s="7" t="s">
        <v>34</v>
      </c>
      <c r="B22" s="12" t="s">
        <v>387</v>
      </c>
      <c r="C22" s="7" t="s">
        <v>388</v>
      </c>
      <c r="D22" s="10" t="n">
        <f aca="false">COUNTIFS(借閱!$A$2:$A$2000,$A22,借閱!$D$2:$D$2000,"")</f>
        <v>2</v>
      </c>
    </row>
    <row r="23" customFormat="false" ht="15" hidden="false" customHeight="false" outlineLevel="0" collapsed="false">
      <c r="A23" s="7" t="s">
        <v>60</v>
      </c>
      <c r="B23" s="12" t="s">
        <v>274</v>
      </c>
      <c r="C23" s="7" t="s">
        <v>389</v>
      </c>
      <c r="D23" s="10" t="n">
        <f aca="false">COUNTIFS(借閱!$A$2:$A$2000,$A23,借閱!$D$2:$D$2000,"")</f>
        <v>3</v>
      </c>
    </row>
    <row r="24" customFormat="false" ht="15" hidden="false" customHeight="false" outlineLevel="0" collapsed="false">
      <c r="A24" s="7" t="s">
        <v>28</v>
      </c>
      <c r="B24" s="12" t="s">
        <v>390</v>
      </c>
      <c r="C24" s="7" t="s">
        <v>391</v>
      </c>
      <c r="D24" s="10" t="n">
        <f aca="false">COUNTIFS(借閱!$A$2:$A$2000,$A24,借閱!$D$2:$D$2000,"")</f>
        <v>0</v>
      </c>
    </row>
    <row r="25" customFormat="false" ht="15" hidden="false" customHeight="false" outlineLevel="0" collapsed="false">
      <c r="A25" s="7" t="s">
        <v>154</v>
      </c>
      <c r="B25" s="12" t="s">
        <v>392</v>
      </c>
      <c r="C25" s="7" t="s">
        <v>393</v>
      </c>
      <c r="D25" s="10" t="n">
        <f aca="false">COUNTIFS(借閱!$A$2:$A$2000,$A25,借閱!$D$2:$D$2000,"")</f>
        <v>0</v>
      </c>
    </row>
    <row r="26" customFormat="false" ht="15" hidden="false" customHeight="false" outlineLevel="0" collapsed="false">
      <c r="A26" s="7" t="s">
        <v>37</v>
      </c>
      <c r="B26" s="12" t="s">
        <v>394</v>
      </c>
      <c r="C26" s="7" t="s">
        <v>395</v>
      </c>
      <c r="D26" s="10" t="n">
        <f aca="false">COUNTIFS(借閱!$A$2:$A$2000,$A26,借閱!$D$2:$D$2000,"")</f>
        <v>0</v>
      </c>
    </row>
    <row r="27" customFormat="false" ht="15" hidden="false" customHeight="false" outlineLevel="0" collapsed="false">
      <c r="A27" s="7" t="s">
        <v>107</v>
      </c>
      <c r="B27" s="12" t="s">
        <v>258</v>
      </c>
      <c r="C27" s="7" t="s">
        <v>396</v>
      </c>
      <c r="D27" s="10" t="n">
        <f aca="false">COUNTIFS(借閱!$A$2:$A$2000,$A27,借閱!$D$2:$D$2000,"")</f>
        <v>3</v>
      </c>
    </row>
    <row r="28" customFormat="false" ht="15" hidden="false" customHeight="false" outlineLevel="0" collapsed="false">
      <c r="A28" s="7" t="s">
        <v>54</v>
      </c>
      <c r="B28" s="12" t="s">
        <v>397</v>
      </c>
      <c r="C28" s="7" t="s">
        <v>398</v>
      </c>
      <c r="D28" s="10" t="n">
        <f aca="false">COUNTIFS(借閱!$A$2:$A$2000,$A28,借閱!$D$2:$D$2000,"")</f>
        <v>0</v>
      </c>
    </row>
    <row r="29" customFormat="false" ht="15" hidden="false" customHeight="false" outlineLevel="0" collapsed="false">
      <c r="A29" s="7" t="s">
        <v>93</v>
      </c>
      <c r="B29" s="12" t="s">
        <v>305</v>
      </c>
      <c r="C29" s="7" t="s">
        <v>399</v>
      </c>
      <c r="D29" s="10" t="n">
        <f aca="false">COUNTIFS(借閱!$A$2:$A$2000,$A29,借閱!$D$2:$D$2000,"")</f>
        <v>2</v>
      </c>
    </row>
    <row r="30" customFormat="false" ht="15" hidden="false" customHeight="false" outlineLevel="0" collapsed="false">
      <c r="A30" s="7" t="s">
        <v>58</v>
      </c>
      <c r="B30" s="12" t="s">
        <v>400</v>
      </c>
      <c r="C30" s="7" t="s">
        <v>401</v>
      </c>
      <c r="D30" s="10" t="n">
        <f aca="false">COUNTIFS(借閱!$A$2:$A$2000,$A30,借閱!$D$2:$D$2000,"")</f>
        <v>2</v>
      </c>
    </row>
    <row r="31" customFormat="false" ht="15" hidden="false" customHeight="false" outlineLevel="0" collapsed="false">
      <c r="A31" s="7" t="s">
        <v>40</v>
      </c>
      <c r="B31" s="12" t="s">
        <v>402</v>
      </c>
      <c r="C31" s="7" t="s">
        <v>403</v>
      </c>
      <c r="D31" s="10" t="n">
        <f aca="false">COUNTIFS(借閱!$A$2:$A$2000,$A31,借閱!$D$2:$D$2000,"")</f>
        <v>1</v>
      </c>
    </row>
    <row r="32" customFormat="false" ht="15" hidden="false" customHeight="false" outlineLevel="0" collapsed="false">
      <c r="A32" s="7" t="s">
        <v>51</v>
      </c>
      <c r="B32" s="12" t="s">
        <v>404</v>
      </c>
      <c r="C32" s="7" t="s">
        <v>405</v>
      </c>
      <c r="D32" s="10" t="n">
        <f aca="false">COUNTIFS(借閱!$A$2:$A$2000,$A32,借閱!$D$2:$D$2000,"")</f>
        <v>2</v>
      </c>
    </row>
    <row r="33" customFormat="false" ht="15" hidden="false" customHeight="false" outlineLevel="0" collapsed="false">
      <c r="A33" s="7" t="s">
        <v>95</v>
      </c>
      <c r="B33" s="12" t="s">
        <v>406</v>
      </c>
      <c r="C33" s="7" t="s">
        <v>407</v>
      </c>
      <c r="D33" s="10" t="n">
        <f aca="false">COUNTIFS(借閱!$A$2:$A$2000,$A33,借閱!$D$2:$D$2000,"")</f>
        <v>0</v>
      </c>
    </row>
    <row r="34" customFormat="false" ht="15" hidden="false" customHeight="false" outlineLevel="0" collapsed="false">
      <c r="A34" s="7" t="s">
        <v>22</v>
      </c>
      <c r="B34" s="12" t="s">
        <v>408</v>
      </c>
      <c r="C34" s="7" t="s">
        <v>409</v>
      </c>
      <c r="D34" s="10" t="n">
        <f aca="false">COUNTIFS(借閱!$A$2:$A$2000,$A34,借閱!$D$2:$D$2000,"")</f>
        <v>0</v>
      </c>
    </row>
    <row r="35" customFormat="false" ht="15" hidden="false" customHeight="false" outlineLevel="0" collapsed="false">
      <c r="A35" s="7" t="s">
        <v>122</v>
      </c>
      <c r="B35" s="12" t="s">
        <v>410</v>
      </c>
      <c r="C35" s="7" t="s">
        <v>411</v>
      </c>
      <c r="D35" s="10" t="n">
        <f aca="false">COUNTIFS(借閱!$A$2:$A$2000,$A35,借閱!$D$2:$D$2000,"")</f>
        <v>2</v>
      </c>
    </row>
    <row r="36" customFormat="false" ht="15" hidden="false" customHeight="false" outlineLevel="0" collapsed="false">
      <c r="A36" s="7" t="s">
        <v>75</v>
      </c>
      <c r="B36" s="12" t="s">
        <v>412</v>
      </c>
      <c r="C36" s="7" t="s">
        <v>413</v>
      </c>
      <c r="D36" s="10" t="n">
        <f aca="false">COUNTIFS(借閱!$A$2:$A$2000,$A36,借閱!$D$2:$D$2000,"")</f>
        <v>0</v>
      </c>
    </row>
    <row r="37" customFormat="false" ht="15" hidden="false" customHeight="false" outlineLevel="0" collapsed="false">
      <c r="A37" s="7" t="s">
        <v>130</v>
      </c>
      <c r="B37" s="12" t="s">
        <v>404</v>
      </c>
      <c r="C37" s="7" t="s">
        <v>414</v>
      </c>
      <c r="D37" s="10" t="n">
        <f aca="false">COUNTIFS(借閱!$A$2:$A$2000,$A37,借閱!$D$2:$D$2000,"")</f>
        <v>2</v>
      </c>
    </row>
    <row r="38" customFormat="false" ht="15" hidden="false" customHeight="false" outlineLevel="0" collapsed="false">
      <c r="A38" s="7" t="s">
        <v>46</v>
      </c>
      <c r="B38" s="12" t="s">
        <v>415</v>
      </c>
      <c r="C38" s="7" t="s">
        <v>416</v>
      </c>
      <c r="D38" s="10" t="n">
        <f aca="false">COUNTIFS(借閱!$A$2:$A$2000,$A38,借閱!$D$2:$D$2000,"")</f>
        <v>2</v>
      </c>
    </row>
    <row r="39" customFormat="false" ht="15" hidden="false" customHeight="false" outlineLevel="0" collapsed="false">
      <c r="A39" s="7" t="s">
        <v>56</v>
      </c>
      <c r="B39" s="12" t="s">
        <v>240</v>
      </c>
      <c r="C39" s="7" t="s">
        <v>417</v>
      </c>
      <c r="D39" s="10" t="n">
        <f aca="false">COUNTIFS(借閱!$A$2:$A$2000,$A39,借閱!$D$2:$D$2000,"")</f>
        <v>2</v>
      </c>
    </row>
    <row r="40" customFormat="false" ht="15" hidden="false" customHeight="false" outlineLevel="0" collapsed="false">
      <c r="A40" s="7" t="s">
        <v>42</v>
      </c>
      <c r="B40" s="12" t="s">
        <v>418</v>
      </c>
      <c r="C40" s="7" t="s">
        <v>419</v>
      </c>
      <c r="D40" s="10" t="n">
        <f aca="false">COUNTIFS(借閱!$A$2:$A$2000,$A40,借閱!$D$2:$D$2000,"")</f>
        <v>1</v>
      </c>
    </row>
    <row r="41" customFormat="false" ht="15" hidden="false" customHeight="false" outlineLevel="0" collapsed="false">
      <c r="A41" s="7" t="s">
        <v>77</v>
      </c>
      <c r="B41" s="12" t="s">
        <v>420</v>
      </c>
      <c r="C41" s="7" t="s">
        <v>421</v>
      </c>
      <c r="D41" s="10" t="n">
        <f aca="false">COUNTIFS(借閱!$A$2:$A$2000,$A41,借閱!$D$2:$D$2000,"")</f>
        <v>0</v>
      </c>
    </row>
  </sheetData>
  <autoFilter ref="A1:D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4" min="4" style="0" width="6"/>
    <col collapsed="false" customWidth="true" hidden="false" outlineLevel="0" max="5" min="5" style="0" width="16"/>
    <col collapsed="false" customWidth="true" hidden="false" outlineLevel="0" max="6" min="6" style="0" width="20"/>
    <col collapsed="false" customWidth="true" hidden="false" outlineLevel="0" max="7" min="7" style="0" width="10"/>
  </cols>
  <sheetData>
    <row r="1" customFormat="false" ht="15" hidden="false" customHeight="false" outlineLevel="0" collapsed="false">
      <c r="A1" s="14" t="s">
        <v>422</v>
      </c>
      <c r="B1" s="10" t="n">
        <f aca="false">COUNTA(借閱!$B$2:$B$2000)</f>
        <v>501</v>
      </c>
      <c r="D1" s="11" t="s">
        <v>423</v>
      </c>
      <c r="E1" s="15" t="s">
        <v>16</v>
      </c>
      <c r="F1" s="11" t="s">
        <v>19</v>
      </c>
      <c r="G1" s="11" t="s">
        <v>164</v>
      </c>
    </row>
    <row r="2" customFormat="false" ht="15" hidden="false" customHeight="false" outlineLevel="0" collapsed="false">
      <c r="A2" s="14" t="s">
        <v>163</v>
      </c>
      <c r="B2" s="10" t="n">
        <f aca="false">COUNTIFS(借閱!$B$2:$B$2000,"&lt;&gt;",借閱!$D$2:$D$2000,"")</f>
        <v>38</v>
      </c>
      <c r="D2" s="10" t="n">
        <v>1</v>
      </c>
      <c r="E2" s="9" t="str">
        <f aca="false">INDEX(書籍!$A$2:$A$101,MATCH(LARGE(書籍!$G$2:$G$101,D2),書籍!$G$2:$G$101,0))</f>
        <v>9783516770131</v>
      </c>
      <c r="F2" s="9" t="str">
        <f aca="false">INDEX(書籍!$B$2:$B$101,MATCH(LARGE(書籍!$G$2:$G$101,D2),書籍!$G$2:$G$101,0))</f>
        <v>深夜的手記</v>
      </c>
      <c r="G2" s="9" t="n">
        <f aca="false">INDEX(書籍!$F$2:$F$101,MATCH(LARGE(書籍!$G$2:$G$101,D2),書籍!$G$2:$G$101,0))</f>
        <v>9</v>
      </c>
    </row>
    <row r="3" customFormat="false" ht="15" hidden="false" customHeight="false" outlineLevel="0" collapsed="false">
      <c r="A3" s="14" t="s">
        <v>424</v>
      </c>
      <c r="B3" s="10" t="n">
        <f aca="false">COUNTIF(書籍!$E$2:$E$101,"借出中")</f>
        <v>37</v>
      </c>
      <c r="D3" s="10" t="n">
        <v>2</v>
      </c>
      <c r="E3" s="9" t="str">
        <f aca="false">INDEX(書籍!$A$2:$A$101,MATCH(LARGE(書籍!$G$2:$G$101,D3),書籍!$G$2:$G$101,0))</f>
        <v>9787524816980</v>
      </c>
      <c r="F3" s="9" t="str">
        <f aca="false">INDEX(書籍!$B$2:$B$101,MATCH(LARGE(書籍!$G$2:$G$101,D3),書籍!$G$2:$G$101,0))</f>
        <v>深夜的島</v>
      </c>
      <c r="G3" s="9" t="n">
        <f aca="false">INDEX(書籍!$F$2:$F$101,MATCH(LARGE(書籍!$G$2:$G$101,D3),書籍!$G$2:$G$101,0))</f>
        <v>8</v>
      </c>
    </row>
    <row r="4" customFormat="false" ht="15" hidden="false" customHeight="false" outlineLevel="0" collapsed="false">
      <c r="A4" s="14" t="s">
        <v>425</v>
      </c>
      <c r="B4" s="10" t="n">
        <f aca="false">COUNTIF(書籍!$D$2:$D$101,"&gt;1")</f>
        <v>1</v>
      </c>
      <c r="D4" s="10" t="n">
        <v>3</v>
      </c>
      <c r="E4" s="9" t="str">
        <f aca="false">INDEX(書籍!$A$2:$A$101,MATCH(LARGE(書籍!$G$2:$G$101,D4),書籍!$G$2:$G$101,0))</f>
        <v>9781679983634</v>
      </c>
      <c r="F4" s="9" t="str">
        <f aca="false">INDEX(書籍!$B$2:$B$101,MATCH(LARGE(書籍!$G$2:$G$101,D4),書籍!$G$2:$G$101,0))</f>
        <v>最後一個森林</v>
      </c>
      <c r="G4" s="9" t="n">
        <f aca="false">INDEX(書籍!$F$2:$F$101,MATCH(LARGE(書籍!$G$2:$G$101,D4),書籍!$G$2:$G$101,0))</f>
        <v>8</v>
      </c>
    </row>
    <row r="5" customFormat="false" ht="15" hidden="false" customHeight="false" outlineLevel="0" collapsed="false">
      <c r="D5" s="10" t="n">
        <v>4</v>
      </c>
      <c r="E5" s="9" t="str">
        <f aca="false">INDEX(書籍!$A$2:$A$101,MATCH(LARGE(書籍!$G$2:$G$101,D5),書籍!$G$2:$G$101,0))</f>
        <v>9789955491217</v>
      </c>
      <c r="F5" s="9" t="str">
        <f aca="false">INDEX(書籍!$B$2:$B$101,MATCH(LARGE(書籍!$G$2:$G$101,D5),書籍!$G$2:$G$101,0))</f>
        <v>轉角鋼琴師</v>
      </c>
      <c r="G5" s="9" t="n">
        <f aca="false">INDEX(書籍!$F$2:$F$101,MATCH(LARGE(書籍!$G$2:$G$101,D5),書籍!$G$2:$G$101,0))</f>
        <v>7</v>
      </c>
    </row>
    <row r="6" customFormat="false" ht="15" hidden="false" customHeight="false" outlineLevel="0" collapsed="false">
      <c r="D6" s="10" t="n">
        <v>5</v>
      </c>
      <c r="E6" s="9" t="str">
        <f aca="false">INDEX(書籍!$A$2:$A$101,MATCH(LARGE(書籍!$G$2:$G$101,D6),書籍!$G$2:$G$101,0))</f>
        <v>9784071906799</v>
      </c>
      <c r="F6" s="9" t="str">
        <f aca="false">INDEX(書籍!$B$2:$B$101,MATCH(LARGE(書籍!$G$2:$G$101,D6),書籍!$G$2:$G$101,0))</f>
        <v>深夜的河</v>
      </c>
      <c r="G6" s="9" t="n">
        <f aca="false">INDEX(書籍!$F$2:$F$101,MATCH(LARGE(書籍!$G$2:$G$101,D6),書籍!$G$2:$G$101,0))</f>
        <v>7</v>
      </c>
    </row>
    <row r="7" customFormat="false" ht="15" hidden="false" customHeight="false" outlineLevel="0" collapsed="false">
      <c r="D7" s="10" t="n">
        <v>6</v>
      </c>
      <c r="E7" s="9" t="str">
        <f aca="false">INDEX(書籍!$A$2:$A$101,MATCH(LARGE(書籍!$G$2:$G$101,D7),書籍!$G$2:$G$101,0))</f>
        <v>9788215834962</v>
      </c>
      <c r="F7" s="9" t="str">
        <f aca="false">INDEX(書籍!$B$2:$B$101,MATCH(LARGE(書籍!$G$2:$G$101,D7),書籍!$G$2:$G$101,0))</f>
        <v>地下室鋼琴師</v>
      </c>
      <c r="G7" s="9" t="n">
        <f aca="false">INDEX(書籍!$F$2:$F$101,MATCH(LARGE(書籍!$G$2:$G$101,D7),書籍!$G$2:$G$101,0))</f>
        <v>7</v>
      </c>
    </row>
    <row r="8" customFormat="false" ht="15" hidden="false" customHeight="false" outlineLevel="0" collapsed="false">
      <c r="D8" s="10" t="n">
        <v>7</v>
      </c>
      <c r="E8" s="9" t="str">
        <f aca="false">INDEX(書籍!$A$2:$A$101,MATCH(LARGE(書籍!$G$2:$G$101,D8),書籍!$G$2:$G$101,0))</f>
        <v>9788754426529</v>
      </c>
      <c r="F8" s="9" t="str">
        <f aca="false">INDEX(書籍!$B$2:$B$101,MATCH(LARGE(書籍!$G$2:$G$101,D8),書籍!$G$2:$G$101,0))</f>
        <v>看不見的花園</v>
      </c>
      <c r="G8" s="9" t="n">
        <f aca="false">INDEX(書籍!$F$2:$F$101,MATCH(LARGE(書籍!$G$2:$G$101,D8),書籍!$G$2:$G$101,0))</f>
        <v>7</v>
      </c>
    </row>
    <row r="9" customFormat="false" ht="15" hidden="false" customHeight="false" outlineLevel="0" collapsed="false">
      <c r="D9" s="10" t="n">
        <v>8</v>
      </c>
      <c r="E9" s="9" t="str">
        <f aca="false">INDEX(書籍!$A$2:$A$101,MATCH(LARGE(書籍!$G$2:$G$101,D9),書籍!$G$2:$G$101,0))</f>
        <v>9782919809752</v>
      </c>
      <c r="F9" s="9" t="str">
        <f aca="false">INDEX(書籍!$B$2:$B$101,MATCH(LARGE(書籍!$G$2:$G$101,D9),書籍!$G$2:$G$101,0))</f>
        <v>圖書館地圖</v>
      </c>
      <c r="G9" s="9" t="n">
        <f aca="false">INDEX(書籍!$F$2:$F$101,MATCH(LARGE(書籍!$G$2:$G$101,D9),書籍!$G$2:$G$101,0))</f>
        <v>7</v>
      </c>
    </row>
    <row r="10" customFormat="false" ht="15" hidden="false" customHeight="false" outlineLevel="0" collapsed="false">
      <c r="D10" s="10" t="n">
        <v>9</v>
      </c>
      <c r="E10" s="9" t="str">
        <f aca="false">INDEX(書籍!$A$2:$A$101,MATCH(LARGE(書籍!$G$2:$G$101,D10),書籍!$G$2:$G$101,0))</f>
        <v>9787563547494</v>
      </c>
      <c r="F10" s="9" t="str">
        <f aca="false">INDEX(書籍!$B$2:$B$101,MATCH(LARGE(書籍!$G$2:$G$101,D10),書籍!$G$2:$G$101,0))</f>
        <v>沉默的鋼琴師</v>
      </c>
      <c r="G10" s="9" t="n">
        <f aca="false">INDEX(書籍!$F$2:$F$101,MATCH(LARGE(書籍!$G$2:$G$101,D10),書籍!$G$2:$G$101,0))</f>
        <v>7</v>
      </c>
    </row>
    <row r="11" customFormat="false" ht="15" hidden="false" customHeight="false" outlineLevel="0" collapsed="false">
      <c r="D11" s="10" t="n">
        <v>10</v>
      </c>
      <c r="E11" s="9" t="str">
        <f aca="false">INDEX(書籍!$A$2:$A$101,MATCH(LARGE(書籍!$G$2:$G$101,D11),書籍!$G$2:$G$101,0))</f>
        <v>9789046821947</v>
      </c>
      <c r="F11" s="9" t="str">
        <f aca="false">INDEX(書籍!$B$2:$B$101,MATCH(LARGE(書籍!$G$2:$G$101,D11),書籍!$G$2:$G$101,0))</f>
        <v>地下室夏天</v>
      </c>
      <c r="G11" s="9" t="n">
        <f aca="false">INDEX(書籍!$F$2:$F$101,MATCH(LARGE(書籍!$G$2:$G$101,D11),書籍!$G$2:$G$101,0))</f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2026-09-06T03:40:15Z</dcterms:created>
  <dc:creator>openpyxl</dc:creator>
  <dc:description/>
  <dc:language>en-US</dc:language>
  <cp:lastModifiedBy/>
  <dcterms:modified xsi:type="dcterms:W3CDTF">2026-09-06T03:40:15Z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